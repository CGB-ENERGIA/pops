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E:\sesuite\web\wwwroot\temp\"/>
    </mc:Choice>
  </mc:AlternateContent>
  <workbookProtection workbookAlgorithmName="SHA-512" workbookHashValue="0xfZJZxDtz5vshtbzWO56+CQmy2kfFeG0sxKAo0WWBtX8TyCxdxHdJEhawnJWysHA9xJQSgniUPWhwzAVjGuOw==" workbookSaltValue="yiuAakG8iOXTcYxoKM5N1g==" workbookSpinCount="100000" lockStructure="1"/>
  <bookViews>
    <workbookView xWindow="0" yWindow="0" windowWidth="19200" windowHeight="10740" activeTab="2"/>
  </bookViews>
  <sheets>
    <sheet name="ROTEIRO" sheetId="17" r:id="rId1"/>
    <sheet name="0" sheetId="16" r:id="rId2"/>
    <sheet name="1" sheetId="4" r:id="rId3"/>
    <sheet name="2" sheetId="15" r:id="rId4"/>
    <sheet name="3" sheetId="14" r:id="rId5"/>
    <sheet name="FONTES" sheetId="6" r:id="rId6"/>
  </sheets>
  <definedNames>
    <definedName name="_ftn1" localSheetId="1">'0'!#REF!</definedName>
    <definedName name="_ftn1" localSheetId="2">'1'!#REF!</definedName>
    <definedName name="_ftn2" localSheetId="1">'0'!#REF!</definedName>
    <definedName name="_ftn2" localSheetId="2">'1'!#REF!</definedName>
    <definedName name="_ftnref1" localSheetId="1">'0'!#REF!</definedName>
    <definedName name="_ftnref1" localSheetId="2">'1'!#REF!</definedName>
    <definedName name="_ftnref2" localSheetId="1">'0'!#REF!</definedName>
    <definedName name="_ftnref2" localSheetId="2">'1'!#REF!</definedName>
    <definedName name="a0" localSheetId="1">#REF!</definedName>
    <definedName name="a0">#REF!</definedName>
    <definedName name="_xlnm.Print_Area" localSheetId="1">'0'!$A$1:$AG$176</definedName>
    <definedName name="_xlnm.Print_Area" localSheetId="2">'1'!$A$1:$AG$107</definedName>
    <definedName name="_xlnm.Print_Area" localSheetId="3">'2'!$B$2:$M$1006</definedName>
    <definedName name="_xlnm.Print_Area" localSheetId="4">'3'!$B$2:$W$25</definedName>
    <definedName name="_xlnm.Print_Area" localSheetId="0">ROTEIRO!$B$2:$L$32</definedName>
    <definedName name="Check3" localSheetId="1">'0'!#REF!</definedName>
    <definedName name="Check3" localSheetId="2">'1'!#REF!</definedName>
    <definedName name="X" localSheetId="1">'0'!#REF!</definedName>
    <definedName name="X" localSheetId="2">'1'!#REF!</definedName>
  </definedNames>
  <calcPr calcId="162913"/>
</workbook>
</file>

<file path=xl/calcChain.xml><?xml version="1.0" encoding="utf-8"?>
<calcChain xmlns="http://schemas.openxmlformats.org/spreadsheetml/2006/main">
  <c r="C33" i="4" l="1"/>
  <c r="C19" i="4" l="1"/>
  <c r="H163" i="16" l="1"/>
  <c r="D62" i="4" l="1"/>
  <c r="T155" i="16" l="1"/>
  <c r="N155" i="16"/>
  <c r="AB154" i="16"/>
  <c r="AB153" i="16"/>
  <c r="AB152" i="16"/>
  <c r="AB151" i="16"/>
  <c r="AB150" i="16"/>
  <c r="AB149" i="16"/>
  <c r="AB148" i="16"/>
  <c r="AB147" i="16"/>
  <c r="AB146" i="16"/>
  <c r="AB145" i="16"/>
  <c r="AB155" i="16" s="1"/>
  <c r="Y138" i="16"/>
  <c r="V138" i="16"/>
  <c r="L112" i="16"/>
  <c r="P57" i="16"/>
  <c r="H57" i="16"/>
  <c r="K56" i="16"/>
  <c r="K55" i="16"/>
  <c r="K54" i="16"/>
  <c r="K53" i="16"/>
  <c r="K52" i="16"/>
  <c r="K51" i="16"/>
  <c r="K50" i="16"/>
  <c r="K49" i="16"/>
  <c r="K48" i="16"/>
  <c r="K47" i="16"/>
  <c r="K46" i="16"/>
  <c r="K45" i="16"/>
  <c r="K44" i="16"/>
  <c r="K43" i="16"/>
  <c r="K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57" i="16" l="1"/>
  <c r="T71" i="4" s="1"/>
  <c r="E73" i="4" s="1"/>
  <c r="F71" i="4" l="1"/>
  <c r="J71" i="4" s="1"/>
  <c r="AC25" i="4" l="1"/>
  <c r="W69" i="4" l="1"/>
  <c r="C1006" i="15" l="1"/>
  <c r="S25" i="4" l="1"/>
  <c r="X71" i="4" l="1"/>
</calcChain>
</file>

<file path=xl/comments1.xml><?xml version="1.0" encoding="utf-8"?>
<comments xmlns="http://schemas.openxmlformats.org/spreadsheetml/2006/main">
  <authors>
    <author>Yasmin Emily De Souza Oliveira</author>
  </authors>
  <commentList>
    <comment ref="C35" authorId="0" shapeId="0">
      <text>
        <r>
          <rPr>
            <b/>
            <sz val="9"/>
            <color indexed="81"/>
            <rFont val="Segoe UI"/>
            <family val="2"/>
          </rPr>
          <t>Preencher quando aplicável</t>
        </r>
      </text>
    </comment>
    <comment ref="R35" authorId="0" shapeId="0">
      <text>
        <r>
          <rPr>
            <b/>
            <sz val="9"/>
            <color indexed="81"/>
            <rFont val="Segoe UI"/>
            <family val="2"/>
          </rPr>
          <t>Preencher quando aplicável</t>
        </r>
      </text>
    </comment>
    <comment ref="Y35" authorId="0" shapeId="0">
      <text>
        <r>
          <rPr>
            <b/>
            <sz val="9"/>
            <color indexed="81"/>
            <rFont val="Segoe UI"/>
            <family val="2"/>
          </rPr>
          <t>Preencher quando aplicável</t>
        </r>
      </text>
    </comment>
  </commentList>
</comments>
</file>

<file path=xl/comments2.xml><?xml version="1.0" encoding="utf-8"?>
<comments xmlns="http://schemas.openxmlformats.org/spreadsheetml/2006/main">
  <authors>
    <author>Gilberto Carrera</author>
  </authors>
  <commentList>
    <comment ref="C1006" authorId="0" shapeId="0">
      <text>
        <r>
          <rPr>
            <b/>
            <sz val="9"/>
            <color indexed="81"/>
            <rFont val="Segoe UI"/>
            <family val="2"/>
          </rPr>
          <t>Gilberto Carrera:</t>
        </r>
        <r>
          <rPr>
            <sz val="9"/>
            <color indexed="81"/>
            <rFont val="Segoe UI"/>
            <family val="2"/>
          </rPr>
          <t xml:space="preserve">
O Total deve ser igual a 100%</t>
        </r>
      </text>
    </comment>
  </commentList>
</comments>
</file>

<file path=xl/sharedStrings.xml><?xml version="1.0" encoding="utf-8"?>
<sst xmlns="http://schemas.openxmlformats.org/spreadsheetml/2006/main" count="372" uniqueCount="335">
  <si>
    <t>RG</t>
  </si>
  <si>
    <t>DATA EXPEDIÇÃO</t>
  </si>
  <si>
    <t>2. Dados Cadastrais do Responsável Técnico</t>
  </si>
  <si>
    <t>Nome Completo</t>
  </si>
  <si>
    <t>UF:</t>
  </si>
  <si>
    <t>E-mail</t>
  </si>
  <si>
    <t>Telefone Fixo</t>
  </si>
  <si>
    <t>Telefone Celular</t>
  </si>
  <si>
    <t>Endereço de Correspondência</t>
  </si>
  <si>
    <t>Bairro</t>
  </si>
  <si>
    <t>Município</t>
  </si>
  <si>
    <t>Dados gerais da Central Geradora</t>
  </si>
  <si>
    <t>Eólica</t>
  </si>
  <si>
    <t>Hidráulica</t>
  </si>
  <si>
    <t>Observação</t>
  </si>
  <si>
    <t>Informação</t>
  </si>
  <si>
    <t>Especificação</t>
  </si>
  <si>
    <t>Unidade</t>
  </si>
  <si>
    <t>Periodicidade</t>
  </si>
  <si>
    <t>Potência Nominal de Placa</t>
  </si>
  <si>
    <t>Potência Máxima em Regime Contínuo</t>
  </si>
  <si>
    <t>Corrente Nominal</t>
  </si>
  <si>
    <t>A</t>
  </si>
  <si>
    <t>Tensão Nominal</t>
  </si>
  <si>
    <t>kV</t>
  </si>
  <si>
    <t>Frequência Nominal</t>
  </si>
  <si>
    <t>Hz</t>
  </si>
  <si>
    <t>Velocidade Nominal</t>
  </si>
  <si>
    <t>rpm</t>
  </si>
  <si>
    <t>Número de fases</t>
  </si>
  <si>
    <r>
      <t xml:space="preserve">Tipo e Ligação </t>
    </r>
    <r>
      <rPr>
        <vertAlign val="superscript"/>
        <sz val="10"/>
        <color theme="1"/>
        <rFont val="Arial"/>
        <family val="2"/>
      </rPr>
      <t>(2)</t>
    </r>
  </si>
  <si>
    <t>Número de pólos</t>
  </si>
  <si>
    <r>
      <rPr>
        <vertAlign val="superscript"/>
        <sz val="10"/>
        <color theme="1"/>
        <rFont val="Arial"/>
        <family val="2"/>
      </rPr>
      <t xml:space="preserve"> (1)</t>
    </r>
    <r>
      <rPr>
        <sz val="10"/>
        <color theme="1"/>
        <rFont val="Arial"/>
        <family val="2"/>
      </rPr>
      <t xml:space="preserve"> G/V/O</t>
    </r>
  </si>
  <si>
    <r>
      <rPr>
        <vertAlign val="superscript"/>
        <sz val="10"/>
        <color theme="1"/>
        <rFont val="Arial"/>
        <family val="2"/>
      </rPr>
      <t xml:space="preserve"> (2)</t>
    </r>
    <r>
      <rPr>
        <sz val="10"/>
        <color theme="1"/>
        <rFont val="Arial"/>
        <family val="2"/>
      </rPr>
      <t xml:space="preserve"> Y ou </t>
    </r>
    <r>
      <rPr>
        <sz val="10"/>
        <color theme="1"/>
        <rFont val="Calibri"/>
        <family val="2"/>
      </rPr>
      <t>Δ</t>
    </r>
  </si>
  <si>
    <r>
      <t xml:space="preserve"> (3) </t>
    </r>
    <r>
      <rPr>
        <sz val="10"/>
        <color theme="1"/>
        <rFont val="Arial"/>
        <family val="2"/>
      </rPr>
      <t>Sobre-excitado ou Sub-excitado</t>
    </r>
  </si>
  <si>
    <t>Dados dos Inversores</t>
  </si>
  <si>
    <t>Faixa de tensão de operação (V)</t>
  </si>
  <si>
    <t>Fator de Potência</t>
  </si>
  <si>
    <t>Rendimento (%)</t>
  </si>
  <si>
    <t>Modelo</t>
  </si>
  <si>
    <t>Diâmetro do rotor (m)</t>
  </si>
  <si>
    <r>
      <t xml:space="preserve">Controle de Potência </t>
    </r>
    <r>
      <rPr>
        <vertAlign val="superscript"/>
        <sz val="10"/>
        <rFont val="Arial"/>
        <family val="2"/>
      </rPr>
      <t>(1)</t>
    </r>
  </si>
  <si>
    <t>Velocidade de rotação nominal / Sobrevelocidade máxima (rpm)</t>
  </si>
  <si>
    <t>Velocidade do vento (m/s)</t>
  </si>
  <si>
    <t>Potência Gerada (kW)</t>
  </si>
  <si>
    <t>Momento de Inércia da Massa Girante   MD2/4 (kg.m2)</t>
  </si>
  <si>
    <r>
      <t xml:space="preserve">Documento de certificação da turbina </t>
    </r>
    <r>
      <rPr>
        <vertAlign val="superscript"/>
        <sz val="10"/>
        <rFont val="Arial"/>
        <family val="2"/>
      </rPr>
      <t>(2)</t>
    </r>
  </si>
  <si>
    <t xml:space="preserve">Saída de seviço       (cut-out) </t>
  </si>
  <si>
    <t xml:space="preserve">Saída de seviço       (cut-out)  </t>
  </si>
  <si>
    <t>Obs: No caso de aerogerador não convencional informar a altura máxima atingida pela estrutura.</t>
  </si>
  <si>
    <r>
      <rPr>
        <vertAlign val="superscript"/>
        <sz val="10"/>
        <color theme="1"/>
        <rFont val="Arial"/>
        <family val="2"/>
      </rPr>
      <t>(1)</t>
    </r>
    <r>
      <rPr>
        <sz val="10"/>
        <color theme="1"/>
        <rFont val="Arial"/>
        <family val="2"/>
      </rPr>
      <t xml:space="preserve"> Passo variável(Stall), Estol(pitch), Estol ativo (active stall), etc.</t>
    </r>
  </si>
  <si>
    <r>
      <rPr>
        <vertAlign val="superscript"/>
        <sz val="10"/>
        <color theme="1"/>
        <rFont val="Arial"/>
        <family val="2"/>
      </rPr>
      <t>(2)</t>
    </r>
    <r>
      <rPr>
        <sz val="10"/>
        <color theme="1"/>
        <rFont val="Arial"/>
        <family val="2"/>
      </rPr>
      <t xml:space="preserve"> Data</t>
    </r>
  </si>
  <si>
    <t>Local</t>
  </si>
  <si>
    <t>Data</t>
  </si>
  <si>
    <t>Assinatura do Responsável</t>
  </si>
  <si>
    <t>Tensão Primária (V)</t>
  </si>
  <si>
    <t>Tensão Secundária (V)</t>
  </si>
  <si>
    <t>Fabricante</t>
  </si>
  <si>
    <t>kVA</t>
  </si>
  <si>
    <t>Entrada em serviço     (cut-in)</t>
  </si>
  <si>
    <t>Entrada em serviço          (cut-in)</t>
  </si>
  <si>
    <t>Origem</t>
  </si>
  <si>
    <t>Fontes</t>
  </si>
  <si>
    <t>Biomassa</t>
  </si>
  <si>
    <t>Floresta</t>
  </si>
  <si>
    <t>Biogás - Floresta</t>
  </si>
  <si>
    <t>Carvão Vegetal</t>
  </si>
  <si>
    <t>Gás de Alto Forno - Biomassa</t>
  </si>
  <si>
    <t>Lenha</t>
  </si>
  <si>
    <t>Licor Negro</t>
  </si>
  <si>
    <t>Resíduos de Madeira</t>
  </si>
  <si>
    <t>Resíduos sólidos urbanos</t>
  </si>
  <si>
    <t>Biogás - RU</t>
  </si>
  <si>
    <t>Resíduos animais</t>
  </si>
  <si>
    <t>Biogás - RA</t>
  </si>
  <si>
    <t>Biocombustíveis líquidos</t>
  </si>
  <si>
    <t>Etanol</t>
  </si>
  <si>
    <t>Óleos vegetais</t>
  </si>
  <si>
    <t>Agroindustriais</t>
  </si>
  <si>
    <t>Bagaço de Cana de Açúcar</t>
  </si>
  <si>
    <t>Biogás-AGR</t>
  </si>
  <si>
    <t>Capim Elefante</t>
  </si>
  <si>
    <t>Casca de Arroz</t>
  </si>
  <si>
    <t>Cinética do vento</t>
  </si>
  <si>
    <t>Fóssil</t>
  </si>
  <si>
    <t>Petróleo</t>
  </si>
  <si>
    <t>Gás de Alto Forno - PE</t>
  </si>
  <si>
    <t>Gás de Refinaria</t>
  </si>
  <si>
    <t>Óleo Combustível</t>
  </si>
  <si>
    <t>Óleo Diesel</t>
  </si>
  <si>
    <t>Outros Energéticos de Petróleo</t>
  </si>
  <si>
    <t>Carvão mineral</t>
  </si>
  <si>
    <t>Calor de Processo - CM</t>
  </si>
  <si>
    <t>Carvão Mineral</t>
  </si>
  <si>
    <t>Gás de Alto Forno - CM</t>
  </si>
  <si>
    <t>Gás natural</t>
  </si>
  <si>
    <t>Calor de Processo - GN</t>
  </si>
  <si>
    <t>Gás Natural</t>
  </si>
  <si>
    <t>Outros Fósseis</t>
  </si>
  <si>
    <t>Calor de Processo - OF</t>
  </si>
  <si>
    <t>Turfa</t>
  </si>
  <si>
    <t>Xisto</t>
  </si>
  <si>
    <t>Hídrica</t>
  </si>
  <si>
    <t>Potencial hidráulico</t>
  </si>
  <si>
    <t>Nuclear</t>
  </si>
  <si>
    <t>Urânio</t>
  </si>
  <si>
    <t>Solar</t>
  </si>
  <si>
    <t>Radiação solar</t>
  </si>
  <si>
    <t>Undi-Elétrica</t>
  </si>
  <si>
    <t>Cinética da água</t>
  </si>
  <si>
    <t xml:space="preserve">Obs: Unidades Geradoras Fotovoltaiscas e Eólicas </t>
  </si>
  <si>
    <t>Fabricante das Turbinas*</t>
  </si>
  <si>
    <r>
      <t xml:space="preserve">Tipo de Turbina* </t>
    </r>
    <r>
      <rPr>
        <vertAlign val="superscript"/>
        <sz val="10"/>
        <color theme="1"/>
        <rFont val="Arial"/>
        <family val="2"/>
      </rPr>
      <t>(1)</t>
    </r>
  </si>
  <si>
    <r>
      <t xml:space="preserve">Fator de Potência* </t>
    </r>
    <r>
      <rPr>
        <vertAlign val="superscript"/>
        <sz val="10"/>
        <color theme="1"/>
        <rFont val="Arial"/>
        <family val="2"/>
      </rPr>
      <t>(3)</t>
    </r>
  </si>
  <si>
    <t>Eixo do rotor (horizontal/ vertical)*</t>
  </si>
  <si>
    <t>Altura Máxima da Pá (m)*</t>
  </si>
  <si>
    <t>Fabricante/Modelo do Gerador</t>
  </si>
  <si>
    <t>Rio</t>
  </si>
  <si>
    <t>Fabricante/Modelo</t>
  </si>
  <si>
    <t>Potência do Gerador (kW)</t>
  </si>
  <si>
    <t>Fator de Potência do Gerador</t>
  </si>
  <si>
    <t>Tipo turbina</t>
  </si>
  <si>
    <t>Bacia / SubBacia</t>
  </si>
  <si>
    <t>Endereço</t>
  </si>
  <si>
    <t>CEP:</t>
  </si>
  <si>
    <t>CPF/CNPJ</t>
  </si>
  <si>
    <t>Potência Turbina (kVA)</t>
  </si>
  <si>
    <t>Potência do Gerador (kVA)</t>
  </si>
  <si>
    <t>Fabricante Turbina</t>
  </si>
  <si>
    <t>Fabricante Gerador</t>
  </si>
  <si>
    <t>Área do arranjo (m²):</t>
  </si>
  <si>
    <t>Potência de Pico (kWp):</t>
  </si>
  <si>
    <t>Fabricante(s) dos Módulos</t>
  </si>
  <si>
    <t>Titulo Profissional</t>
  </si>
  <si>
    <t>Nº</t>
  </si>
  <si>
    <t>Descrição</t>
  </si>
  <si>
    <t>Observações</t>
  </si>
  <si>
    <t>Apenas para os casos de empreendimentos com múltiplas unidades consumidoras e geração compartilhada.</t>
  </si>
  <si>
    <t>Apenas os casos de geração distribuída que utilize cogeração qualificada</t>
  </si>
  <si>
    <t>Nº Módulos</t>
  </si>
  <si>
    <t>Potência Nominal (kVA)</t>
  </si>
  <si>
    <t>Nome do Cliente / Razão Social (Titular da Unidade Consumidora)</t>
  </si>
  <si>
    <t>Impedância do Trafo (%)</t>
  </si>
  <si>
    <r>
      <t xml:space="preserve">Térmica </t>
    </r>
    <r>
      <rPr>
        <b/>
        <sz val="10"/>
        <color theme="1"/>
        <rFont val="Arial"/>
        <family val="2"/>
      </rPr>
      <t>(Biomassa/Solar Térmica/Cogeração)</t>
    </r>
  </si>
  <si>
    <t xml:space="preserve">X = </t>
  </si>
  <si>
    <t>Y =</t>
  </si>
  <si>
    <t>% kWh</t>
  </si>
  <si>
    <t>ENDEREÇO</t>
  </si>
  <si>
    <t>TOTAL</t>
  </si>
  <si>
    <t>2. Diagrama unifilar e de blocos do sistema de geração, carga e proteção</t>
  </si>
  <si>
    <t>3. Memorial Técnico Descritivo da instalação</t>
  </si>
  <si>
    <t>Potência do Módulo (W)</t>
  </si>
  <si>
    <t xml:space="preserve">Obs: Célula fotovoltaica é a unidade básica, módulo é o conjunto de células e arranjo é o agrupamento de módulos, o gerador </t>
  </si>
  <si>
    <t>Autoconsumo Remoto</t>
  </si>
  <si>
    <t>Geração Compartilhada</t>
  </si>
  <si>
    <t>Para autoconsumo consumo remoto, geração compartilhada e empreendimento de múltiplas unidades consumidoras</t>
  </si>
  <si>
    <t>6. Certificados de Conformidade dos Inversores ou o número de registro de concessão do INMETRO do(s) inversor(es) para a tensão nominal de conexão com a rede</t>
  </si>
  <si>
    <t>UF</t>
  </si>
  <si>
    <t>MONOFÁSICO</t>
  </si>
  <si>
    <t>TRIFÁSICO</t>
  </si>
  <si>
    <t>SOLAR FOTOVOLTAICA</t>
  </si>
  <si>
    <t>AUTOCONSUMO REMOTO</t>
  </si>
  <si>
    <t>EÓLICA</t>
  </si>
  <si>
    <t>HIDRÁULICA</t>
  </si>
  <si>
    <t>GERAÇÃO COMPARTILHADA</t>
  </si>
  <si>
    <t>A1</t>
  </si>
  <si>
    <t>A2</t>
  </si>
  <si>
    <t>A3</t>
  </si>
  <si>
    <t>A3a</t>
  </si>
  <si>
    <t>A4</t>
  </si>
  <si>
    <r>
      <t xml:space="preserve">1. Identificação e Dados Cadastrais da Unidade Consumidora - </t>
    </r>
    <r>
      <rPr>
        <b/>
        <sz val="11"/>
        <color indexed="10"/>
        <rFont val="Arial"/>
        <family val="2"/>
      </rPr>
      <t>PREENCHER, OBRIGATORIAMENTE, TODOS OS CAMPOS NA COR VERMELHA</t>
    </r>
  </si>
  <si>
    <t>PA</t>
  </si>
  <si>
    <t>Residencial</t>
  </si>
  <si>
    <t>Preencher as coordenadas ponto de entrega do acessante em UTM Fuso 21, 22 ou 23</t>
  </si>
  <si>
    <t>LIGAÇÃO NOVA DE UNIDADE CONSUMIDORA COM GERAÇÃO DISTRIBUÍDA (ver item abaixo)</t>
  </si>
  <si>
    <t>MA</t>
  </si>
  <si>
    <t>Industrial</t>
  </si>
  <si>
    <t>Preencher as coordenadas do ponto de entrega do acessante em UTM Fuso 23</t>
  </si>
  <si>
    <t>CONEXÃO DE GD EM UNIDADE CONSUMIDORA EXISTENTE SEM AUMENTO DE POTÊNCIA DISPONIBILIZADA (ver item abaixo)</t>
  </si>
  <si>
    <t>PI</t>
  </si>
  <si>
    <t>Comércio, serviços e outras atividades</t>
  </si>
  <si>
    <t>Preencher as coordenadas do ponto de entrega do acessante em UTM Fuso 23 ou 24</t>
  </si>
  <si>
    <t>CONEXÃO DE GD EM UNIDADE CONSUMIDORA EXISTENTE COM AUMENTO DE POTÊNCIA DISPONIBILIZADA (ver item abaixo)</t>
  </si>
  <si>
    <t>AL</t>
  </si>
  <si>
    <t>Rural</t>
  </si>
  <si>
    <t>Preencher as coordenadas do ponto de entrega do acessante em UTM Fuso 24 ou 25</t>
  </si>
  <si>
    <t>SIM</t>
  </si>
  <si>
    <t>Poder Público</t>
  </si>
  <si>
    <t>NÃO</t>
  </si>
  <si>
    <t>Iluminação Pública</t>
  </si>
  <si>
    <t>Serviço Público</t>
  </si>
  <si>
    <t>Consumo próprio</t>
  </si>
  <si>
    <t>BIOMASSA (especificar ao lado o tipo de fonte primária)</t>
  </si>
  <si>
    <t>INDIVIDUAL</t>
  </si>
  <si>
    <t>COGERAÇÃO QUALIFICADA</t>
  </si>
  <si>
    <t>AÉREO</t>
  </si>
  <si>
    <t>OUTRAS (especificar ao lado)</t>
  </si>
  <si>
    <t>SUBTERRÂNEO</t>
  </si>
  <si>
    <t>EMPREENDIMENTO DE MÚLTIPLAS UNIDADES CONSUMIDORAS</t>
  </si>
  <si>
    <t>Contatos telefônicos</t>
  </si>
  <si>
    <t>Celular</t>
  </si>
  <si>
    <t>Fixo</t>
  </si>
  <si>
    <t>Munícipio</t>
  </si>
  <si>
    <r>
      <t>UF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</si>
  <si>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Conta Contrato (Se UC existente)</t>
  </si>
  <si>
    <t>Ramo de Atividade (Descrição)</t>
  </si>
  <si>
    <t>Possui Cargas Especiais?</t>
  </si>
  <si>
    <r>
      <t xml:space="preserve">Classe </t>
    </r>
    <r>
      <rPr>
        <sz val="10"/>
        <color rgb="FFFF0000"/>
        <rFont val="Arial"/>
        <family val="2"/>
      </rPr>
      <t>(selecionar</t>
    </r>
    <r>
      <rPr>
        <sz val="10"/>
        <rFont val="Arial"/>
        <family val="2"/>
      </rPr>
      <t>)</t>
    </r>
  </si>
  <si>
    <t>CONEXÃO DE GD EM UNIDADE CONSUMIDORA EXISTENTE COM REDUÇÃO DE POTÊNCIA DISPONIBILIZADA (ver item abaixo)</t>
  </si>
  <si>
    <t>kW</t>
  </si>
  <si>
    <t>GRUPO A</t>
  </si>
  <si>
    <t>OPTANTE GRUPO B</t>
  </si>
  <si>
    <r>
      <t>Tipo de Solicitação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</si>
  <si>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SUBESTAÇÃO AÉREA</t>
  </si>
  <si>
    <t>AZUL</t>
  </si>
  <si>
    <t>VERDE</t>
  </si>
  <si>
    <t>Demanda Contratada</t>
  </si>
  <si>
    <r>
      <t>Tarifa GRUPO A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</si>
  <si>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FP:</t>
  </si>
  <si>
    <t>P:</t>
  </si>
  <si>
    <r>
      <t>Tipo de Ramal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</si>
  <si>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Item</t>
  </si>
  <si>
    <t>Registro Profissional</t>
  </si>
  <si>
    <t>Tipo de Ligação</t>
  </si>
  <si>
    <t>Faixa de Comutador (+ ou - x%)</t>
  </si>
  <si>
    <r>
      <t>Tipo de Geração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</si>
  <si>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Especificar se necessário</t>
  </si>
  <si>
    <t>Tensão de Conexão</t>
  </si>
  <si>
    <r>
      <t xml:space="preserve">LISTA DE RATEIO PARA AS UNIDADES CONSUMIDORAS PARTICIPANTES DO SISTEMA DE COMPENSAÇÃO
</t>
    </r>
    <r>
      <rPr>
        <b/>
        <sz val="9"/>
        <color theme="1"/>
        <rFont val="Arial"/>
        <family val="2"/>
      </rPr>
      <t>(Autoconsumo Remoto, Geração Compartilhada e EMUC)</t>
    </r>
  </si>
  <si>
    <t>Conta Contrato da UC geradora</t>
  </si>
  <si>
    <t>Enquadramento</t>
  </si>
  <si>
    <t>Local da solicitação</t>
  </si>
  <si>
    <t>Data solicitação</t>
  </si>
  <si>
    <t>Conta Contrato</t>
  </si>
  <si>
    <t>Classe de Consumo</t>
  </si>
  <si>
    <t>Empreendimento de Múltiplas Unidades</t>
  </si>
  <si>
    <t xml:space="preserve">Item </t>
  </si>
  <si>
    <t>DHT de Corrente (%)</t>
  </si>
  <si>
    <t>4. Características da Minigeração Distribuída</t>
  </si>
  <si>
    <t>Potência Nominal (kW)</t>
  </si>
  <si>
    <t>3. Dados dos Transformadores da Subestação de Conexão com o Sistema de Distribuição</t>
  </si>
  <si>
    <t>TRANSFORMADOR EM PEDESTAL</t>
  </si>
  <si>
    <t>SUBESTAÇÃO ABRIGADA</t>
  </si>
  <si>
    <t>CUBÍCULO BLINDADO</t>
  </si>
  <si>
    <t>SUBESTAÇÃO AO TEMPO NO SOLO</t>
  </si>
  <si>
    <r>
      <t>Padrão de Entrada da UC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</si>
  <si>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Carga Instalada da UC</t>
  </si>
  <si>
    <t>Demanda da UC</t>
  </si>
  <si>
    <t>FP médio no Ponto de Entrega/Conexão da UC</t>
  </si>
  <si>
    <r>
      <t>Conexão da UC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</si>
  <si>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r>
      <t>Tensão  Atendimento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</si>
  <si>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ETAPA</t>
  </si>
  <si>
    <t>DESCRIÇÃO DA ETAPA</t>
  </si>
  <si>
    <t>INÍCIO</t>
  </si>
  <si>
    <t>FIM</t>
  </si>
  <si>
    <t>DATA</t>
  </si>
  <si>
    <t>MESES</t>
  </si>
  <si>
    <t>CRONOGRAMA DE IMPLANTAÇÃO/EXPANSÃO E ESTÁGIO ATUAL DO PROJETO</t>
  </si>
  <si>
    <t>ESTÁGIO ATUAL DO PROJETO</t>
  </si>
  <si>
    <t>Data Início da Operação</t>
  </si>
  <si>
    <t>5. Estágio atual do empreendimento, cronograma de implantação e expansão (PLANILHA NA GUIA 3)</t>
  </si>
  <si>
    <t>Potência Disponibilizada (PD)</t>
  </si>
  <si>
    <t>Potência Geração (PG)</t>
  </si>
  <si>
    <t>Solar Fotovoltaica</t>
  </si>
  <si>
    <t>4. Projeto elétrico das instalações de conexão, contendo: A) Planta de Situação, B) Projeto completo da Subestação de Conexão/Entrada,
C) Diagrama Funcional, D) Arranjos Físicos ou Lay-out, E) Detalhes de Montagem e  F) Manual com Folha de Dados (datasheet) dos geradores e inversores</t>
  </si>
  <si>
    <t>Corrente Nominal (A)</t>
  </si>
  <si>
    <t>Nº de dentificação do poste ou transformador mais próximo do ponto de entrega/conexão da Unidade Consumidora</t>
  </si>
  <si>
    <t>Apenas nos casos de Ligação Nova de UC com Minigeração ou Aumento de Potência Disponibilizada de UC Existente</t>
  </si>
  <si>
    <t xml:space="preserve">Apenas nos casos de Ligação Nova de UC com Minigeração ou Aumento/Redução da Potência Disponibilizada de UC Existente </t>
  </si>
  <si>
    <r>
      <t>Informações das Unidades Geradoras (UG): (</t>
    </r>
    <r>
      <rPr>
        <b/>
        <sz val="10"/>
        <color rgb="FFFF0000"/>
        <rFont val="Arial"/>
        <family val="2"/>
      </rPr>
      <t>PREENCHER CONFORME O TIPO DE FONTE DE GERAÇÃO</t>
    </r>
    <r>
      <rPr>
        <b/>
        <sz val="12"/>
        <rFont val="Arial"/>
        <family val="2"/>
      </rPr>
      <t>)</t>
    </r>
  </si>
  <si>
    <t>5. Documentos necessários que devem ser anexados ao Formulário de Solicitação de Acesso:</t>
  </si>
  <si>
    <t>6. Este formulário deverá ser preenchido e encaminhado aos canais de atendimento Corporativo da CONCESSIONÁRIA</t>
  </si>
  <si>
    <t>7. Lista de unidades consumidoras participantes do sistema de compensação (se houver) indicando na porcentagem de rateio dos créditos e o enquadramento conforme incisos VI a VIII do art. 2º da Resolução Normativa nº 482/2012 (PLANULHA NA GUIA 2)</t>
  </si>
  <si>
    <t>8. Cópia de instrumento jurídico que comprove o compromisso de solidariedade entre os Integrantes (se houver)</t>
  </si>
  <si>
    <t>9. Documento que comprove o reconhecimento pela ANEEL, da cogeração qualificada (se houver)</t>
  </si>
  <si>
    <t>10. Formulário de Viabilidade Técnica, conforme ANEXO III - SOLICITAÇÃO DE VIABILIDADE TÉCNICA da norma NT.002.EQTL.Normas e Padrões</t>
  </si>
  <si>
    <t>11. Quadro de Cargas para Cálculo Preliminar da Carga Instalada e da Demanda  e Cálculo de Parâmetros Preliminares de Dimensionamento para Subestação Aérea até 300 kVA, conforme ANEXO II - DIMENSIONAMENTO DE SE AÉREA da norma NT.002.EQTL.Normas e Padrões</t>
  </si>
  <si>
    <t>12. Quadro de Cargas para Cálculo Preliminar da Carga Instalada e da Demanda para Subestação Abrigada (alvernaria ou cubículo) acima de 300 kVA, conforme ANEXO I - CÁLCULO DA DEMANDA da norma NT.002.EQTL.Normas e Padrões</t>
  </si>
  <si>
    <t>13. Contrato de Aluguel ou Arrendamento da unidade consumidora (quando necessário, conforme observação)</t>
  </si>
  <si>
    <t>14. Procuração (quando necessário, conforme observação)</t>
  </si>
  <si>
    <t>15. Autorização de uso de área comum em condomínio (quando necessário, conforme observação)</t>
  </si>
  <si>
    <t>AS</t>
  </si>
  <si>
    <r>
      <t>Subgrupo</t>
    </r>
    <r>
      <rPr>
        <sz val="10"/>
        <color rgb="FFFF0000"/>
        <rFont val="Arial"/>
        <family val="2"/>
      </rPr>
      <t>(selecionar</t>
    </r>
    <r>
      <rPr>
        <sz val="10"/>
        <rFont val="Arial"/>
        <family val="2"/>
      </rPr>
      <t>)</t>
    </r>
  </si>
  <si>
    <t>Detalhar -Cargas especiais</t>
  </si>
  <si>
    <t>ROTEIRO DE PREENCHIMENTO DO FORMULÁRIO DE SOLICITAÇÃO DE ACESSO E RESPECTIVAS GUIAS</t>
  </si>
  <si>
    <t>1º)</t>
  </si>
  <si>
    <r>
      <t xml:space="preserve">Preencher a </t>
    </r>
    <r>
      <rPr>
        <b/>
        <sz val="10"/>
        <color theme="1"/>
        <rFont val="Arial"/>
        <family val="2"/>
      </rPr>
      <t>GUIA 0</t>
    </r>
    <r>
      <rPr>
        <sz val="10"/>
        <color theme="1"/>
        <rFont val="Arial"/>
        <family val="2"/>
      </rPr>
      <t xml:space="preserve"> nos campos correspontes ao tipo de fonte de geração de energia elétrica</t>
    </r>
  </si>
  <si>
    <t>SOLAR FOTOVOLTAICA - Preencher os itens 1 (fonte) e 2 (inversor), conforme a quantidade de arranjos e inversores.</t>
  </si>
  <si>
    <t>No item 1, existem espaços para até 10 arranjos. Cada linha corresponde as informações de 1 arranjo, preencher cada célula, exceto as da coluna POTÊNCIA</t>
  </si>
  <si>
    <t>DE PICO e as células da linha TOTAL, pois estas células são calculadas automaticamente.</t>
  </si>
  <si>
    <t>No item 2, existem espaços para até 10 inversores. Cada linha corresponde as informações de 1 inversor, preencher todas as células, exceto a célula da linha</t>
  </si>
  <si>
    <t>TOTAL, pois está célula é calculada automaticamente.</t>
  </si>
  <si>
    <t>EÓLICA - Preencher os itens 2 (inversor) e 3 (fonte). Preencher conforme a quantidade de geradores e inversores.</t>
  </si>
  <si>
    <t>No item 3, existem espaços para até 10 geradores. Cada linha corresponde as informações de 1 gerador, preencher cada célula, exceto as células da linha</t>
  </si>
  <si>
    <t>TOTAL, pois estas células são calculadas automaticamente.</t>
  </si>
  <si>
    <t>HIDRÁULICA - Preencher o item 4, conforme a quantidade de geradores. Cada linha corresponde a 1 gerador, preencher cada célula, exceto as células da coluna</t>
  </si>
  <si>
    <t>POTENCIA DO GERADOR e as da linha TOTAL, pois estas células são calculadas automaticamente</t>
  </si>
  <si>
    <t>BIOMASSA, COGERAÇÃO E OUTROS - Preencher o item 5. Preencher todas as células, exceto a célula correspondente a POTÊNCIA MÁXIMA EM REGIME</t>
  </si>
  <si>
    <t>CONTINUO, pois esta células é calculada automaticamente a partir das informações de POTÊNCIA NOMINAL DA PLACA (KVA) e FATOR DE POTÊNCIA</t>
  </si>
  <si>
    <t>2º)</t>
  </si>
  <si>
    <r>
      <t xml:space="preserve">Preencher a </t>
    </r>
    <r>
      <rPr>
        <b/>
        <sz val="10"/>
        <color theme="1"/>
        <rFont val="Arial"/>
        <family val="2"/>
      </rPr>
      <t>GUIA 1,</t>
    </r>
    <r>
      <rPr>
        <sz val="10"/>
        <color theme="1"/>
        <rFont val="Arial"/>
        <family val="2"/>
      </rPr>
      <t xml:space="preserve"> obrigatoriamente todos os campos destacados em vermelho. Quando os itens em vermelho forem preenchidos, a tarja vermelha irá</t>
    </r>
  </si>
  <si>
    <t>desaparecer.</t>
  </si>
  <si>
    <t>Selecionar o TIPO DE GERAÇÃO (SOLAR, EÓLICO, BIOMASSA, COGERAÇÃO QUALIFICADA, etc. Se for necessário especificar a fonte primária</t>
  </si>
  <si>
    <t>Selecionar o ENQUADRAMENTO DA MICRO (individual, autoconsumo remoto, geração compartilhada ou EMUC)</t>
  </si>
  <si>
    <t>Preecher o campo DATA DE INÍCIO DA OPERAÇÃO.</t>
  </si>
  <si>
    <t>Todos os demais campo deste item são calculados automaticamente, desde que a GUIA 0 e o itens anteriores da GUIA 1 sejam preenchidos corretamente</t>
  </si>
  <si>
    <t>3º)</t>
  </si>
  <si>
    <r>
      <t xml:space="preserve">Preencher a </t>
    </r>
    <r>
      <rPr>
        <b/>
        <sz val="10"/>
        <color theme="1"/>
        <rFont val="Arial"/>
        <family val="2"/>
      </rPr>
      <t>GUIA 2,</t>
    </r>
    <r>
      <rPr>
        <sz val="10"/>
        <color theme="1"/>
        <rFont val="Arial"/>
        <family val="2"/>
      </rPr>
      <t xml:space="preserve"> apenas do casos de AUTOCONSUMO REMOTO, GERAÇÃO COMPARTILHADA E EMPREENDIMENTO DE MÚLTIPLAS</t>
    </r>
  </si>
  <si>
    <t>OBS: Nos campos selecionáveis, caso o preenchimento vermelho não desaparece, clicar duas vezes ou selecionar outro valor e voltar para o valor desejado</t>
  </si>
  <si>
    <t>Preencher o item 1 DADOS CADASTRAIS DA UNIDADE CONSUMIDORA. Nos campos selecionáveis devem ser selecionadas as informações que se aplicam a UC.</t>
  </si>
  <si>
    <t>Preencher o item 2 DADOS DO RESPONSÁVEL TÉCNICOS.</t>
  </si>
  <si>
    <t xml:space="preserve">Preencher o item 3 DADOS DOS TRANSFORMADORES. </t>
  </si>
  <si>
    <t xml:space="preserve">Preencher o item 4 CARACTERÍSTICAS DA MINIGERAÇÃO DISTRIBUÍDA. </t>
  </si>
  <si>
    <t>4º)</t>
  </si>
  <si>
    <r>
      <t xml:space="preserve">Preencher a </t>
    </r>
    <r>
      <rPr>
        <b/>
        <sz val="10"/>
        <color theme="1"/>
        <rFont val="Arial"/>
        <family val="2"/>
      </rPr>
      <t xml:space="preserve">GUIA 3, </t>
    </r>
    <r>
      <rPr>
        <sz val="10"/>
        <color theme="1"/>
        <rFont val="Arial"/>
        <family val="2"/>
      </rPr>
      <t>informando as etapas, prazos e o estágio atual do empreendimento</t>
    </r>
  </si>
  <si>
    <t xml:space="preserve">Eu, acessante identificado neste formulário ou procurador legal, venho por meio deste instrumento, solicitar o acesso para minigeração distribuída, fornecendo meus dados cadastrais assim como as documentos necessários, em conformidade com as normas e resoluções aplicáveis.
</t>
  </si>
  <si>
    <t>Nome do Responsável Legal</t>
  </si>
  <si>
    <t>Telefone do Responsável Legal</t>
  </si>
  <si>
    <t>E-mail do Responsável Legal</t>
  </si>
  <si>
    <t>Preencher as coordenadas ponto de entrega do acessante em UTM Fuso 21 ou 22</t>
  </si>
  <si>
    <t>Preencher as coordenadas ponto de entrega do acessante em UTM Fuso 22</t>
  </si>
  <si>
    <t>AP</t>
  </si>
  <si>
    <t>RS</t>
  </si>
  <si>
    <r>
      <t>Enquadramento da Minigeração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</si>
  <si>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1. Número de registro válido no conselho profissional competente do Responsável Técnico pelo projeto e instalação do sistema de minigeração</t>
  </si>
  <si>
    <r>
      <rPr>
        <b/>
        <sz val="10"/>
        <rFont val="Arial"/>
        <family val="2"/>
      </rPr>
      <t xml:space="preserve">PARÁ </t>
    </r>
    <r>
      <rPr>
        <sz val="10"/>
        <rFont val="Arial"/>
        <family val="2"/>
      </rPr>
      <t>- Sede de regionais (Belém, Castanhal, Marabá, Santarém e Altamira)</t>
    </r>
  </si>
  <si>
    <r>
      <rPr>
        <b/>
        <sz val="10"/>
        <rFont val="Arial"/>
        <family val="2"/>
      </rPr>
      <t xml:space="preserve">MARANHÃO </t>
    </r>
    <r>
      <rPr>
        <sz val="10"/>
        <rFont val="Arial"/>
        <family val="2"/>
      </rPr>
      <t>- Sede de regionais (São Luís, Imperatriz, Timon, Balsas e Bacabal)</t>
    </r>
  </si>
  <si>
    <r>
      <rPr>
        <b/>
        <sz val="10"/>
        <rFont val="Arial"/>
        <family val="2"/>
      </rPr>
      <t xml:space="preserve">PIAUÍ </t>
    </r>
    <r>
      <rPr>
        <sz val="10"/>
        <rFont val="Arial"/>
        <family val="2"/>
      </rPr>
      <t>- Sede de regionais (Teresina, Parnaíba, Picos, Bom Jesus e Floriano)</t>
    </r>
  </si>
  <si>
    <r>
      <rPr>
        <b/>
        <sz val="10"/>
        <rFont val="Arial"/>
        <family val="2"/>
      </rPr>
      <t>ALAGOAS</t>
    </r>
    <r>
      <rPr>
        <sz val="10"/>
        <rFont val="Arial"/>
        <family val="2"/>
      </rPr>
      <t xml:space="preserve"> - Sede de regionais (Maceio,Arapiraca, Matriz de Camaragibe e Santana</t>
    </r>
  </si>
  <si>
    <t>do Ipanema)</t>
  </si>
  <si>
    <r>
      <rPr>
        <b/>
        <sz val="10"/>
        <rFont val="Arial"/>
        <family val="2"/>
      </rPr>
      <t xml:space="preserve">RIO GRANDE DO SUL </t>
    </r>
    <r>
      <rPr>
        <sz val="10"/>
        <rFont val="Arial"/>
        <family val="2"/>
      </rPr>
      <t>- Sede de regionais (Porto Alegre, Osório e Pelotas)</t>
    </r>
  </si>
  <si>
    <r>
      <rPr>
        <b/>
        <sz val="10"/>
        <rFont val="Arial"/>
        <family val="2"/>
      </rPr>
      <t xml:space="preserve">AMAPÁ </t>
    </r>
    <r>
      <rPr>
        <sz val="10"/>
        <rFont val="Arial"/>
        <family val="2"/>
      </rPr>
      <t>- Sede de regionais (Macapá)</t>
    </r>
  </si>
  <si>
    <r>
      <t xml:space="preserve">Em caso de dúvidas entrar em contato com os canais de atendimento disponibilizados na norma </t>
    </r>
    <r>
      <rPr>
        <b/>
        <sz val="10"/>
        <rFont val="Arial"/>
        <family val="2"/>
      </rPr>
      <t>NT.021.EQTL.Normas e Padrões</t>
    </r>
    <r>
      <rPr>
        <sz val="10"/>
        <rFont val="Arial"/>
        <family val="2"/>
      </rPr>
      <t>.</t>
    </r>
  </si>
  <si>
    <r>
      <t xml:space="preserve">NT.021.EQTL.Normas e Qualidade
ANEXO I - Formulário de Solicitação de Acesso para Minigeração Distribuída
</t>
    </r>
    <r>
      <rPr>
        <b/>
        <sz val="12"/>
        <rFont val="Arial"/>
        <family val="2"/>
      </rPr>
      <t>(acima de 75 kW até 5000 kW qualquer tipo de fonte renovável e cogeração qualificada)</t>
    </r>
  </si>
  <si>
    <t>GERÊNCIA CORPORATIVA DE NORMAS E QUALIDADE. NT.021.EQTL.Normas e Qualidade ANEXO I - FORMULÁRIO DE SOLICITAÇÃO DE ACESSO PARA MINIGERAÇÃO DISTRIBUÍDA REVISÃO 03. 
Revisado em 28/03/2022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</si>
</sst>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-* #,##0.00_-;\-* #,##0.00_-;_-* &quot;-&quot;??_-;_-@_-"/>
    <numFmt numFmtId="165" formatCode="dd/mm/yy;@"/>
    <numFmt numFmtId="166" formatCode="00&quot;.&quot;000&quot;.&quot;000&quot;/&quot;0000&quot;-&quot;00"/>
    <numFmt numFmtId="167" formatCode="00000\-000"/>
    <numFmt numFmtId="168" formatCode="[&lt;=9999999]###\-####;\(###\)\ ###\-####"/>
    <numFmt numFmtId="169" formatCode="\1\ª"/>
    <numFmt numFmtId="170" formatCode="00&quot;.&quot;000\-000"/>
    <numFmt numFmtId="171" formatCode="0.00000"/>
    <numFmt numFmtId="172" formatCode="#,##0_ ;\-#,##0\ "/>
    <numFmt numFmtId="173" formatCode="#,##0.00_ ;\-#,##0.00\ "/>
  </numFmts>
  <fonts count="37">
    <font>
      <sz val="11"/>
      <color theme="1"/>
      <name val="Calibri"/>
      <family val="2"/>
      <scheme val="minor"/>
    </font>
    <font>
      <sz val="10"/>
      <name val="Frutiger 45 Light"/>
      <family val="3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b/>
      <sz val="10"/>
      <name val="Arial"/>
      <family val="2"/>
    </font>
    <font>
      <u/>
      <sz val="10"/>
      <color indexed="12"/>
      <name val="Frutiger 45 Light"/>
      <family val="3"/>
    </font>
    <font>
      <b/>
      <sz val="9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theme="1"/>
      <name val="Calibri"/>
      <family val="2"/>
    </font>
    <font>
      <vertAlign val="superscript"/>
      <sz val="10"/>
      <name val="Arial"/>
      <family val="2"/>
    </font>
    <font>
      <b/>
      <sz val="12"/>
      <color rgb="FF003366"/>
      <name val="Arial"/>
      <family val="2"/>
    </font>
    <font>
      <sz val="9"/>
      <color rgb="FF003366"/>
      <name val="Arial"/>
      <family val="2"/>
    </font>
    <font>
      <i/>
      <vertAlign val="superscript"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1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i/>
      <vertAlign val="superscript"/>
      <sz val="13"/>
      <color theme="1"/>
      <name val="Times New Roman"/>
      <family val="1"/>
    </font>
    <font>
      <sz val="12"/>
      <color theme="1"/>
      <name val="Arial"/>
      <family val="2"/>
    </font>
    <font>
      <sz val="13"/>
      <color theme="1"/>
      <name val="Calibri"/>
      <family val="2"/>
      <scheme val="minor"/>
    </font>
    <font>
      <sz val="1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0" fillId="0" borderId="0" applyNumberFormat="0" applyFill="0" applyBorder="0" applyAlignment="0" applyProtection="0"/>
    <xf numFmtId="0" fontId="2" fillId="0" borderId="0"/>
    <xf numFmtId="164" fontId="28" fillId="0" borderId="0" applyFont="0" applyFill="0" applyBorder="0" applyAlignment="0" applyProtection="0"/>
  </cellStyleXfs>
  <cellXfs count="476">
    <xf numFmtId="0" fontId="0" fillId="0" borderId="0" xfId="0"/>
    <xf numFmtId="0" fontId="2" fillId="0" borderId="6" xfId="1" applyFont="1" applyBorder="1" applyAlignment="1" applyProtection="1">
      <alignment vertical="center"/>
    </xf>
    <xf numFmtId="0" fontId="2" fillId="0" borderId="0" xfId="1" applyFont="1" applyBorder="1" applyAlignment="1" applyProtection="1">
      <alignment vertical="center"/>
    </xf>
    <xf numFmtId="0" fontId="3" fillId="0" borderId="0" xfId="1" applyFont="1" applyBorder="1" applyAlignment="1" applyProtection="1">
      <alignment vertical="center" wrapText="1"/>
    </xf>
    <xf numFmtId="0" fontId="3" fillId="0" borderId="0" xfId="1" applyFont="1" applyBorder="1" applyAlignment="1" applyProtection="1">
      <alignment horizontal="center" vertical="center"/>
    </xf>
    <xf numFmtId="49" fontId="5" fillId="0" borderId="0" xfId="1" applyNumberFormat="1" applyFont="1" applyBorder="1" applyAlignment="1" applyProtection="1">
      <alignment horizontal="center" vertical="center"/>
    </xf>
    <xf numFmtId="0" fontId="5" fillId="0" borderId="0" xfId="1" applyFont="1" applyBorder="1" applyAlignment="1" applyProtection="1">
      <alignment vertical="center"/>
    </xf>
    <xf numFmtId="49" fontId="2" fillId="0" borderId="0" xfId="1" applyNumberFormat="1" applyFont="1" applyFill="1" applyBorder="1" applyAlignment="1" applyProtection="1">
      <alignment vertical="center"/>
    </xf>
    <xf numFmtId="49" fontId="2" fillId="0" borderId="0" xfId="1" applyNumberFormat="1" applyFont="1" applyFill="1" applyBorder="1" applyAlignment="1" applyProtection="1">
      <alignment horizontal="left" vertical="center"/>
    </xf>
    <xf numFmtId="0" fontId="2" fillId="2" borderId="18" xfId="1" applyFont="1" applyFill="1" applyBorder="1" applyAlignment="1" applyProtection="1">
      <alignment vertical="center"/>
    </xf>
    <xf numFmtId="0" fontId="2" fillId="0" borderId="0" xfId="1" applyFont="1" applyFill="1" applyBorder="1" applyAlignment="1" applyProtection="1">
      <alignment vertical="center"/>
    </xf>
    <xf numFmtId="0" fontId="2" fillId="0" borderId="0" xfId="1" applyFont="1" applyBorder="1" applyAlignment="1" applyProtection="1">
      <alignment horizontal="left" vertical="center"/>
    </xf>
    <xf numFmtId="49" fontId="2" fillId="0" borderId="0" xfId="1" applyNumberFormat="1" applyFont="1" applyBorder="1" applyAlignment="1" applyProtection="1">
      <alignment vertical="center"/>
    </xf>
    <xf numFmtId="0" fontId="10" fillId="0" borderId="0" xfId="1" applyFont="1" applyFill="1" applyBorder="1" applyAlignment="1" applyProtection="1">
      <alignment horizontal="left" vertical="center" wrapText="1"/>
    </xf>
    <xf numFmtId="1" fontId="2" fillId="0" borderId="0" xfId="1" applyNumberFormat="1" applyFont="1" applyFill="1" applyBorder="1" applyAlignment="1" applyProtection="1">
      <alignment vertical="center"/>
    </xf>
    <xf numFmtId="0" fontId="2" fillId="0" borderId="6" xfId="1" applyFont="1" applyFill="1" applyBorder="1" applyAlignment="1" applyProtection="1">
      <alignment vertical="center"/>
    </xf>
    <xf numFmtId="0" fontId="2" fillId="0" borderId="20" xfId="1" applyFont="1" applyBorder="1" applyAlignment="1" applyProtection="1">
      <alignment vertical="center"/>
    </xf>
    <xf numFmtId="0" fontId="2" fillId="0" borderId="21" xfId="1" applyFont="1" applyBorder="1" applyAlignment="1" applyProtection="1">
      <alignment vertical="center"/>
    </xf>
    <xf numFmtId="0" fontId="2" fillId="0" borderId="0" xfId="1" applyFont="1" applyBorder="1" applyAlignment="1" applyProtection="1">
      <alignment horizontal="right" vertical="center"/>
    </xf>
    <xf numFmtId="0" fontId="2" fillId="0" borderId="0" xfId="1" applyFont="1" applyBorder="1" applyAlignment="1" applyProtection="1">
      <alignment horizontal="justify" vertical="center" wrapText="1"/>
    </xf>
    <xf numFmtId="0" fontId="2" fillId="0" borderId="0" xfId="1" applyFont="1" applyBorder="1" applyAlignment="1" applyProtection="1">
      <alignment vertical="center" wrapText="1"/>
    </xf>
    <xf numFmtId="0" fontId="2" fillId="0" borderId="0" xfId="1" applyFont="1" applyFill="1" applyAlignment="1" applyProtection="1">
      <alignment vertical="center"/>
    </xf>
    <xf numFmtId="0" fontId="17" fillId="5" borderId="24" xfId="0" applyFont="1" applyFill="1" applyBorder="1" applyAlignment="1">
      <alignment horizontal="center" vertical="center" wrapText="1"/>
    </xf>
    <xf numFmtId="0" fontId="17" fillId="6" borderId="24" xfId="0" applyFont="1" applyFill="1" applyBorder="1" applyAlignment="1">
      <alignment horizontal="center" vertical="center" wrapText="1"/>
    </xf>
    <xf numFmtId="0" fontId="18" fillId="8" borderId="24" xfId="0" applyFont="1" applyFill="1" applyBorder="1" applyAlignment="1">
      <alignment vertical="center" wrapText="1"/>
    </xf>
    <xf numFmtId="0" fontId="18" fillId="7" borderId="24" xfId="0" applyFont="1" applyFill="1" applyBorder="1" applyAlignment="1">
      <alignment horizontal="center" vertical="center" wrapText="1"/>
    </xf>
    <xf numFmtId="0" fontId="0" fillId="0" borderId="0" xfId="0"/>
    <xf numFmtId="0" fontId="2" fillId="0" borderId="1" xfId="1" applyFont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/>
    </xf>
    <xf numFmtId="0" fontId="2" fillId="0" borderId="30" xfId="1" applyFont="1" applyBorder="1" applyAlignment="1" applyProtection="1">
      <alignment vertical="center"/>
    </xf>
    <xf numFmtId="0" fontId="2" fillId="0" borderId="20" xfId="1" applyFont="1" applyBorder="1" applyAlignment="1" applyProtection="1">
      <alignment horizontal="center" vertical="center"/>
    </xf>
    <xf numFmtId="0" fontId="0" fillId="0" borderId="0" xfId="0" applyProtection="1"/>
    <xf numFmtId="0" fontId="0" fillId="0" borderId="29" xfId="0" applyBorder="1" applyProtection="1"/>
    <xf numFmtId="0" fontId="2" fillId="3" borderId="0" xfId="1" applyFont="1" applyFill="1" applyBorder="1" applyAlignment="1" applyProtection="1">
      <alignment vertical="center"/>
    </xf>
    <xf numFmtId="49" fontId="2" fillId="3" borderId="0" xfId="1" applyNumberFormat="1" applyFont="1" applyFill="1" applyBorder="1" applyAlignment="1" applyProtection="1">
      <alignment vertical="center"/>
    </xf>
    <xf numFmtId="166" fontId="2" fillId="0" borderId="0" xfId="1" applyNumberFormat="1" applyFont="1" applyBorder="1" applyAlignment="1" applyProtection="1">
      <alignment vertical="center"/>
    </xf>
    <xf numFmtId="167" fontId="2" fillId="0" borderId="0" xfId="1" applyNumberFormat="1" applyFont="1" applyFill="1" applyBorder="1" applyAlignment="1" applyProtection="1">
      <alignment horizontal="left" vertical="center"/>
    </xf>
    <xf numFmtId="167" fontId="2" fillId="0" borderId="0" xfId="1" applyNumberFormat="1" applyFont="1" applyBorder="1" applyAlignment="1" applyProtection="1">
      <alignment horizontal="left" vertical="center"/>
    </xf>
    <xf numFmtId="166" fontId="2" fillId="0" borderId="0" xfId="1" applyNumberFormat="1" applyFont="1" applyBorder="1" applyAlignment="1" applyProtection="1">
      <alignment horizontal="left" vertical="center"/>
    </xf>
    <xf numFmtId="166" fontId="2" fillId="0" borderId="0" xfId="1" applyNumberFormat="1" applyFont="1" applyBorder="1" applyAlignment="1" applyProtection="1">
      <alignment horizontal="center" vertical="center"/>
    </xf>
    <xf numFmtId="166" fontId="2" fillId="0" borderId="0" xfId="1" applyNumberFormat="1" applyFont="1" applyFill="1" applyBorder="1" applyAlignment="1" applyProtection="1">
      <alignment horizontal="left" vertical="center"/>
    </xf>
    <xf numFmtId="166" fontId="2" fillId="0" borderId="0" xfId="1" applyNumberFormat="1" applyFont="1" applyFill="1" applyBorder="1" applyAlignment="1" applyProtection="1">
      <alignment horizontal="center" vertical="center"/>
    </xf>
    <xf numFmtId="49" fontId="8" fillId="0" borderId="0" xfId="1" applyNumberFormat="1" applyFont="1" applyBorder="1" applyAlignment="1" applyProtection="1">
      <alignment horizontal="center" vertical="center"/>
    </xf>
    <xf numFmtId="1" fontId="2" fillId="0" borderId="0" xfId="1" applyNumberFormat="1" applyFont="1" applyBorder="1" applyAlignment="1" applyProtection="1">
      <alignment horizontal="center" vertical="center" wrapText="1"/>
    </xf>
    <xf numFmtId="49" fontId="2" fillId="0" borderId="0" xfId="1" applyNumberFormat="1" applyFont="1" applyBorder="1" applyAlignment="1" applyProtection="1">
      <alignment horizontal="center" vertical="center"/>
    </xf>
    <xf numFmtId="49" fontId="2" fillId="0" borderId="0" xfId="1" applyNumberFormat="1" applyFont="1" applyBorder="1" applyAlignment="1" applyProtection="1">
      <alignment horizontal="left" vertical="center"/>
    </xf>
    <xf numFmtId="0" fontId="0" fillId="0" borderId="0" xfId="0" applyBorder="1" applyAlignment="1" applyProtection="1">
      <alignment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Border="1" applyAlignment="1" applyProtection="1">
      <alignment horizontal="left" vertical="center"/>
    </xf>
    <xf numFmtId="168" fontId="2" fillId="0" borderId="0" xfId="1" applyNumberFormat="1" applyFont="1" applyFill="1" applyBorder="1" applyAlignment="1" applyProtection="1">
      <alignment vertical="center"/>
    </xf>
    <xf numFmtId="169" fontId="2" fillId="0" borderId="0" xfId="1" applyNumberFormat="1" applyFont="1" applyBorder="1" applyAlignment="1" applyProtection="1">
      <alignment horizontal="center" vertical="center"/>
    </xf>
    <xf numFmtId="0" fontId="8" fillId="0" borderId="0" xfId="1" applyFont="1" applyFill="1" applyBorder="1" applyAlignment="1" applyProtection="1">
      <alignment horizontal="center" vertical="center"/>
    </xf>
    <xf numFmtId="0" fontId="13" fillId="4" borderId="0" xfId="0" applyFont="1" applyFill="1" applyBorder="1" applyAlignment="1" applyProtection="1">
      <alignment vertical="center"/>
    </xf>
    <xf numFmtId="0" fontId="13" fillId="4" borderId="0" xfId="0" applyFont="1" applyFill="1" applyBorder="1" applyAlignment="1" applyProtection="1">
      <alignment horizontal="left" vertical="center"/>
    </xf>
    <xf numFmtId="0" fontId="13" fillId="4" borderId="0" xfId="0" applyFont="1" applyFill="1" applyBorder="1" applyAlignment="1" applyProtection="1">
      <alignment horizontal="left" vertical="center" wrapText="1"/>
    </xf>
    <xf numFmtId="0" fontId="14" fillId="4" borderId="0" xfId="0" applyFont="1" applyFill="1" applyBorder="1" applyAlignment="1" applyProtection="1">
      <alignment horizontal="left" vertical="center"/>
    </xf>
    <xf numFmtId="0" fontId="13" fillId="4" borderId="0" xfId="0" applyFont="1" applyFill="1" applyBorder="1" applyAlignment="1" applyProtection="1">
      <alignment horizontal="center" vertical="center"/>
    </xf>
    <xf numFmtId="0" fontId="13" fillId="0" borderId="0" xfId="0" applyFont="1" applyAlignment="1">
      <alignment vertical="center"/>
    </xf>
    <xf numFmtId="0" fontId="12" fillId="0" borderId="34" xfId="0" applyFont="1" applyBorder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6" fillId="0" borderId="29" xfId="1" applyFont="1" applyBorder="1" applyAlignment="1" applyProtection="1">
      <alignment vertical="center"/>
    </xf>
    <xf numFmtId="0" fontId="5" fillId="0" borderId="1" xfId="1" applyFont="1" applyBorder="1" applyAlignment="1" applyProtection="1">
      <alignment vertical="center"/>
    </xf>
    <xf numFmtId="0" fontId="2" fillId="0" borderId="6" xfId="1" applyFont="1" applyBorder="1" applyAlignment="1" applyProtection="1">
      <alignment vertical="center" wrapText="1"/>
    </xf>
    <xf numFmtId="0" fontId="24" fillId="0" borderId="0" xfId="0" applyFont="1" applyAlignment="1">
      <alignment horizontal="center" vertical="center"/>
    </xf>
    <xf numFmtId="0" fontId="24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 applyProtection="1">
      <alignment vertical="center"/>
    </xf>
    <xf numFmtId="2" fontId="24" fillId="0" borderId="0" xfId="0" applyNumberFormat="1" applyFont="1" applyAlignment="1">
      <alignment horizontal="center" vertical="center"/>
    </xf>
    <xf numFmtId="0" fontId="21" fillId="0" borderId="17" xfId="0" applyFont="1" applyBorder="1" applyAlignment="1" applyProtection="1">
      <alignment horizontal="center" vertical="center"/>
    </xf>
    <xf numFmtId="0" fontId="0" fillId="0" borderId="2" xfId="0" applyBorder="1" applyAlignment="1" applyProtection="1">
      <alignment vertical="center"/>
    </xf>
    <xf numFmtId="0" fontId="0" fillId="0" borderId="6" xfId="0" applyBorder="1" applyAlignment="1" applyProtection="1">
      <alignment vertical="center"/>
    </xf>
    <xf numFmtId="165" fontId="2" fillId="0" borderId="0" xfId="1" applyNumberFormat="1" applyFont="1" applyBorder="1" applyAlignment="1" applyProtection="1">
      <alignment horizontal="left" vertical="center"/>
    </xf>
    <xf numFmtId="0" fontId="6" fillId="0" borderId="0" xfId="1" applyFont="1" applyBorder="1" applyAlignment="1" applyProtection="1">
      <alignment vertical="center"/>
    </xf>
    <xf numFmtId="0" fontId="21" fillId="0" borderId="0" xfId="0" applyFont="1" applyBorder="1" applyAlignment="1" applyProtection="1">
      <alignment vertical="center"/>
    </xf>
    <xf numFmtId="0" fontId="1" fillId="0" borderId="0" xfId="1" applyBorder="1" applyAlignment="1" applyProtection="1">
      <alignment vertical="center"/>
    </xf>
    <xf numFmtId="0" fontId="11" fillId="0" borderId="0" xfId="0" applyFont="1" applyBorder="1" applyAlignment="1" applyProtection="1">
      <alignment vertical="center"/>
    </xf>
    <xf numFmtId="0" fontId="1" fillId="0" borderId="0" xfId="1" applyAlignment="1" applyProtection="1">
      <alignment vertical="center"/>
    </xf>
    <xf numFmtId="0" fontId="19" fillId="0" borderId="0" xfId="0" applyFont="1" applyBorder="1" applyAlignment="1" applyProtection="1">
      <alignment vertical="center"/>
    </xf>
    <xf numFmtId="0" fontId="0" fillId="0" borderId="19" xfId="0" applyBorder="1" applyAlignment="1" applyProtection="1">
      <alignment vertical="center"/>
    </xf>
    <xf numFmtId="0" fontId="13" fillId="0" borderId="15" xfId="0" applyFont="1" applyBorder="1" applyAlignment="1" applyProtection="1">
      <alignment vertical="center"/>
    </xf>
    <xf numFmtId="0" fontId="2" fillId="0" borderId="15" xfId="1" applyFont="1" applyBorder="1" applyAlignment="1" applyProtection="1">
      <alignment horizontal="center" vertical="center"/>
    </xf>
    <xf numFmtId="0" fontId="13" fillId="2" borderId="18" xfId="0" applyFont="1" applyFill="1" applyBorder="1" applyAlignment="1" applyProtection="1">
      <alignment horizontal="center" vertical="center"/>
    </xf>
    <xf numFmtId="0" fontId="2" fillId="4" borderId="18" xfId="0" applyFont="1" applyFill="1" applyBorder="1" applyAlignment="1" applyProtection="1">
      <alignment horizontal="center" vertical="center"/>
    </xf>
    <xf numFmtId="0" fontId="5" fillId="0" borderId="17" xfId="1" applyFont="1" applyFill="1" applyBorder="1" applyAlignment="1" applyProtection="1">
      <alignment horizontal="center" vertical="center"/>
    </xf>
    <xf numFmtId="49" fontId="2" fillId="0" borderId="0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</xf>
    <xf numFmtId="49" fontId="8" fillId="0" borderId="0" xfId="1" applyNumberFormat="1" applyFont="1" applyFill="1" applyBorder="1" applyAlignment="1" applyProtection="1">
      <alignment horizontal="center" vertical="center" wrapText="1"/>
    </xf>
    <xf numFmtId="0" fontId="2" fillId="0" borderId="0" xfId="1" applyFont="1" applyFill="1" applyBorder="1" applyAlignment="1" applyProtection="1">
      <alignment horizontal="left" vertical="center"/>
    </xf>
    <xf numFmtId="0" fontId="2" fillId="0" borderId="18" xfId="1" applyFont="1" applyFill="1" applyBorder="1" applyAlignment="1" applyProtection="1">
      <alignment horizontal="center" vertical="center"/>
    </xf>
    <xf numFmtId="49" fontId="2" fillId="0" borderId="17" xfId="1" applyNumberFormat="1" applyFont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</xf>
    <xf numFmtId="49" fontId="2" fillId="0" borderId="0" xfId="1" applyNumberFormat="1" applyFont="1" applyFill="1" applyBorder="1" applyAlignment="1" applyProtection="1">
      <alignment horizontal="right" vertical="center"/>
    </xf>
    <xf numFmtId="0" fontId="2" fillId="0" borderId="0" xfId="1" applyFont="1" applyFill="1" applyBorder="1" applyAlignment="1" applyProtection="1">
      <alignment horizontal="right" vertical="center"/>
    </xf>
    <xf numFmtId="49" fontId="2" fillId="0" borderId="18" xfId="1" applyNumberFormat="1" applyFont="1" applyBorder="1" applyAlignment="1" applyProtection="1">
      <alignment horizontal="center" vertical="center"/>
    </xf>
    <xf numFmtId="0" fontId="21" fillId="0" borderId="0" xfId="0" applyFont="1" applyBorder="1" applyAlignment="1" applyProtection="1">
      <alignment horizontal="left" vertical="center"/>
    </xf>
    <xf numFmtId="0" fontId="11" fillId="0" borderId="0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171" fontId="12" fillId="0" borderId="37" xfId="0" applyNumberFormat="1" applyFont="1" applyBorder="1" applyAlignment="1" applyProtection="1">
      <alignment horizontal="center" vertical="center"/>
      <protection hidden="1"/>
    </xf>
    <xf numFmtId="171" fontId="13" fillId="0" borderId="0" xfId="0" applyNumberFormat="1" applyFont="1" applyAlignment="1">
      <alignment horizontal="center" vertical="center"/>
    </xf>
    <xf numFmtId="0" fontId="12" fillId="4" borderId="18" xfId="0" applyFont="1" applyFill="1" applyBorder="1" applyAlignment="1" applyProtection="1">
      <alignment horizontal="center" vertical="center"/>
    </xf>
    <xf numFmtId="0" fontId="8" fillId="4" borderId="18" xfId="0" applyFont="1" applyFill="1" applyBorder="1" applyAlignment="1" applyProtection="1">
      <alignment horizontal="center" vertical="center"/>
    </xf>
    <xf numFmtId="0" fontId="5" fillId="0" borderId="18" xfId="1" applyFont="1" applyBorder="1" applyAlignment="1" applyProtection="1">
      <alignment horizontal="center" vertical="center"/>
      <protection locked="0"/>
    </xf>
    <xf numFmtId="0" fontId="12" fillId="0" borderId="35" xfId="0" applyFont="1" applyBorder="1" applyAlignment="1">
      <alignment horizontal="center" vertical="center"/>
    </xf>
    <xf numFmtId="1" fontId="8" fillId="0" borderId="47" xfId="1" applyNumberFormat="1" applyFont="1" applyBorder="1" applyAlignment="1" applyProtection="1">
      <alignment horizontal="center" vertical="center"/>
    </xf>
    <xf numFmtId="1" fontId="8" fillId="0" borderId="46" xfId="1" applyNumberFormat="1" applyFont="1" applyBorder="1" applyAlignment="1" applyProtection="1">
      <alignment horizontal="center" vertical="center"/>
    </xf>
    <xf numFmtId="0" fontId="12" fillId="0" borderId="18" xfId="0" applyFont="1" applyBorder="1" applyAlignment="1">
      <alignment vertical="center"/>
    </xf>
    <xf numFmtId="0" fontId="5" fillId="0" borderId="17" xfId="1" applyFont="1" applyFill="1" applyBorder="1" applyAlignment="1" applyProtection="1">
      <alignment horizontal="center" vertical="center"/>
    </xf>
    <xf numFmtId="0" fontId="5" fillId="0" borderId="17" xfId="1" applyFont="1" applyFill="1" applyBorder="1" applyAlignment="1" applyProtection="1">
      <alignment horizontal="center" vertical="center"/>
    </xf>
    <xf numFmtId="0" fontId="2" fillId="0" borderId="29" xfId="1" applyFont="1" applyBorder="1" applyAlignment="1" applyProtection="1">
      <alignment vertical="center"/>
    </xf>
    <xf numFmtId="0" fontId="3" fillId="0" borderId="1" xfId="1" applyFont="1" applyBorder="1" applyAlignment="1" applyProtection="1">
      <alignment vertical="center" wrapText="1"/>
    </xf>
    <xf numFmtId="0" fontId="2" fillId="0" borderId="2" xfId="1" applyFont="1" applyBorder="1" applyAlignment="1" applyProtection="1">
      <alignment vertical="center"/>
    </xf>
    <xf numFmtId="0" fontId="2" fillId="0" borderId="19" xfId="1" applyFont="1" applyBorder="1" applyAlignment="1" applyProtection="1">
      <alignment vertical="center"/>
    </xf>
    <xf numFmtId="0" fontId="3" fillId="0" borderId="20" xfId="1" applyFont="1" applyBorder="1" applyAlignment="1" applyProtection="1">
      <alignment vertical="center" wrapText="1"/>
    </xf>
    <xf numFmtId="0" fontId="13" fillId="4" borderId="18" xfId="0" applyFont="1" applyFill="1" applyBorder="1" applyAlignment="1" applyProtection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4" fillId="0" borderId="0" xfId="0" applyFont="1" applyAlignment="1">
      <alignment vertical="center"/>
    </xf>
    <xf numFmtId="0" fontId="13" fillId="0" borderId="29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13" fillId="0" borderId="0" xfId="0" applyFont="1" applyBorder="1" applyAlignment="1">
      <alignment vertical="center"/>
    </xf>
    <xf numFmtId="0" fontId="24" fillId="0" borderId="6" xfId="0" applyFont="1" applyBorder="1" applyAlignment="1">
      <alignment vertical="center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indent="1"/>
    </xf>
    <xf numFmtId="0" fontId="13" fillId="0" borderId="19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 indent="1"/>
    </xf>
    <xf numFmtId="0" fontId="13" fillId="0" borderId="20" xfId="0" applyFont="1" applyBorder="1" applyAlignment="1">
      <alignment vertical="center"/>
    </xf>
    <xf numFmtId="0" fontId="24" fillId="0" borderId="21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2" fillId="0" borderId="0" xfId="1" applyFont="1" applyBorder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horizontal="center" vertical="center" wrapText="1"/>
      <protection locked="0"/>
    </xf>
    <xf numFmtId="0" fontId="32" fillId="4" borderId="18" xfId="0" applyFont="1" applyFill="1" applyBorder="1" applyAlignment="1" applyProtection="1">
      <alignment horizontal="center" vertical="center"/>
    </xf>
    <xf numFmtId="0" fontId="11" fillId="2" borderId="18" xfId="0" applyFont="1" applyFill="1" applyBorder="1" applyAlignment="1" applyProtection="1">
      <alignment horizontal="center" vertical="center"/>
    </xf>
    <xf numFmtId="0" fontId="21" fillId="2" borderId="18" xfId="0" applyFont="1" applyFill="1" applyBorder="1" applyAlignment="1" applyProtection="1">
      <alignment horizontal="center" vertical="center"/>
    </xf>
    <xf numFmtId="0" fontId="34" fillId="4" borderId="18" xfId="0" applyFont="1" applyFill="1" applyBorder="1" applyAlignment="1" applyProtection="1">
      <alignment horizontal="center" vertical="center"/>
    </xf>
    <xf numFmtId="0" fontId="31" fillId="10" borderId="15" xfId="0" applyFont="1" applyFill="1" applyBorder="1" applyAlignment="1" applyProtection="1">
      <alignment horizontal="center" vertical="center"/>
      <protection locked="0"/>
    </xf>
    <xf numFmtId="0" fontId="31" fillId="10" borderId="17" xfId="0" applyFont="1" applyFill="1" applyBorder="1" applyAlignment="1" applyProtection="1">
      <alignment horizontal="center" vertical="center"/>
      <protection locked="0"/>
    </xf>
    <xf numFmtId="0" fontId="21" fillId="4" borderId="18" xfId="0" applyFont="1" applyFill="1" applyBorder="1" applyAlignment="1" applyProtection="1">
      <alignment horizontal="center" vertical="center"/>
    </xf>
    <xf numFmtId="171" fontId="31" fillId="0" borderId="18" xfId="0" applyNumberFormat="1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>
      <alignment horizontal="center" vertical="center"/>
    </xf>
    <xf numFmtId="0" fontId="32" fillId="0" borderId="41" xfId="0" applyFont="1" applyBorder="1" applyAlignment="1" applyProtection="1">
      <alignment vertical="center"/>
      <protection locked="0"/>
    </xf>
    <xf numFmtId="14" fontId="36" fillId="0" borderId="9" xfId="1" applyNumberFormat="1" applyFont="1" applyFill="1" applyBorder="1" applyAlignment="1" applyProtection="1">
      <alignment horizontal="center" vertical="center"/>
      <protection locked="0"/>
    </xf>
    <xf numFmtId="0" fontId="31" fillId="0" borderId="23" xfId="0" applyFont="1" applyBorder="1" applyAlignment="1" applyProtection="1">
      <alignment horizontal="center" vertical="center"/>
      <protection locked="0"/>
    </xf>
    <xf numFmtId="0" fontId="31" fillId="0" borderId="18" xfId="0" applyFont="1" applyBorder="1" applyAlignment="1" applyProtection="1">
      <alignment horizontal="center" vertical="center"/>
      <protection locked="0"/>
    </xf>
    <xf numFmtId="0" fontId="31" fillId="0" borderId="35" xfId="0" applyFont="1" applyBorder="1" applyAlignment="1" applyProtection="1">
      <alignment vertical="center"/>
      <protection locked="0"/>
    </xf>
    <xf numFmtId="0" fontId="36" fillId="0" borderId="15" xfId="1" applyFont="1" applyFill="1" applyBorder="1" applyAlignment="1" applyProtection="1">
      <alignment horizontal="center" vertical="center"/>
      <protection locked="0"/>
    </xf>
    <xf numFmtId="0" fontId="31" fillId="0" borderId="15" xfId="0" applyFont="1" applyBorder="1" applyAlignment="1" applyProtection="1">
      <alignment horizontal="center" vertical="center"/>
      <protection locked="0"/>
    </xf>
    <xf numFmtId="0" fontId="2" fillId="0" borderId="2" xfId="3" applyFont="1" applyBorder="1" applyAlignment="1" applyProtection="1">
      <alignment horizontal="left" vertical="center"/>
    </xf>
    <xf numFmtId="0" fontId="2" fillId="0" borderId="0" xfId="3" applyFont="1" applyBorder="1" applyAlignment="1" applyProtection="1">
      <alignment horizontal="left" vertical="center"/>
    </xf>
    <xf numFmtId="0" fontId="2" fillId="0" borderId="8" xfId="3" applyFont="1" applyBorder="1" applyAlignment="1" applyProtection="1">
      <alignment horizontal="left" vertical="center"/>
    </xf>
    <xf numFmtId="0" fontId="0" fillId="0" borderId="0" xfId="0" applyAlignment="1" applyProtection="1">
      <alignment horizont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172" fontId="31" fillId="10" borderId="15" xfId="6" applyNumberFormat="1" applyFont="1" applyFill="1" applyBorder="1" applyAlignment="1" applyProtection="1">
      <alignment horizontal="center" vertical="center"/>
      <protection locked="0"/>
    </xf>
    <xf numFmtId="172" fontId="31" fillId="10" borderId="16" xfId="6" applyNumberFormat="1" applyFont="1" applyFill="1" applyBorder="1" applyAlignment="1" applyProtection="1">
      <alignment horizontal="center" vertical="center"/>
      <protection locked="0"/>
    </xf>
    <xf numFmtId="172" fontId="31" fillId="10" borderId="17" xfId="6" applyNumberFormat="1" applyFont="1" applyFill="1" applyBorder="1" applyAlignment="1" applyProtection="1">
      <alignment horizontal="center" vertical="center"/>
      <protection locked="0"/>
    </xf>
    <xf numFmtId="173" fontId="31" fillId="4" borderId="15" xfId="6" applyNumberFormat="1" applyFont="1" applyFill="1" applyBorder="1" applyAlignment="1" applyProtection="1">
      <alignment horizontal="center" vertical="center"/>
      <protection hidden="1"/>
    </xf>
    <xf numFmtId="173" fontId="31" fillId="4" borderId="16" xfId="6" applyNumberFormat="1" applyFont="1" applyFill="1" applyBorder="1" applyAlignment="1" applyProtection="1">
      <alignment horizontal="center" vertical="center"/>
      <protection hidden="1"/>
    </xf>
    <xf numFmtId="173" fontId="31" fillId="4" borderId="17" xfId="6" applyNumberFormat="1" applyFont="1" applyFill="1" applyBorder="1" applyAlignment="1" applyProtection="1">
      <alignment horizontal="center" vertical="center"/>
      <protection hidden="1"/>
    </xf>
    <xf numFmtId="173" fontId="31" fillId="10" borderId="15" xfId="6" applyNumberFormat="1" applyFont="1" applyFill="1" applyBorder="1" applyAlignment="1" applyProtection="1">
      <alignment horizontal="center" vertical="center"/>
      <protection locked="0"/>
    </xf>
    <xf numFmtId="173" fontId="31" fillId="10" borderId="16" xfId="6" applyNumberFormat="1" applyFont="1" applyFill="1" applyBorder="1" applyAlignment="1" applyProtection="1">
      <alignment horizontal="center" vertical="center"/>
      <protection locked="0"/>
    </xf>
    <xf numFmtId="173" fontId="31" fillId="10" borderId="17" xfId="6" applyNumberFormat="1" applyFont="1" applyFill="1" applyBorder="1" applyAlignment="1" applyProtection="1">
      <alignment horizontal="center" vertical="center"/>
      <protection locked="0"/>
    </xf>
    <xf numFmtId="0" fontId="31" fillId="10" borderId="15" xfId="0" applyFont="1" applyFill="1" applyBorder="1" applyAlignment="1" applyProtection="1">
      <alignment horizontal="center" vertical="center"/>
      <protection locked="0"/>
    </xf>
    <xf numFmtId="0" fontId="31" fillId="10" borderId="16" xfId="0" applyFont="1" applyFill="1" applyBorder="1" applyAlignment="1" applyProtection="1">
      <alignment horizontal="center" vertical="center"/>
      <protection locked="0"/>
    </xf>
    <xf numFmtId="0" fontId="31" fillId="10" borderId="17" xfId="0" applyFont="1" applyFill="1" applyBorder="1" applyAlignment="1" applyProtection="1">
      <alignment horizontal="center" vertical="center"/>
      <protection locked="0"/>
    </xf>
    <xf numFmtId="0" fontId="11" fillId="2" borderId="15" xfId="0" applyFont="1" applyFill="1" applyBorder="1" applyAlignment="1" applyProtection="1">
      <alignment horizontal="center" vertical="center" wrapText="1"/>
    </xf>
    <xf numFmtId="0" fontId="11" fillId="2" borderId="16" xfId="0" applyFont="1" applyFill="1" applyBorder="1" applyAlignment="1" applyProtection="1">
      <alignment horizontal="center" vertical="center" wrapText="1"/>
    </xf>
    <xf numFmtId="0" fontId="11" fillId="2" borderId="17" xfId="0" applyFont="1" applyFill="1" applyBorder="1" applyAlignment="1" applyProtection="1">
      <alignment horizontal="center" vertical="center" wrapText="1"/>
    </xf>
    <xf numFmtId="49" fontId="6" fillId="2" borderId="15" xfId="1" applyNumberFormat="1" applyFont="1" applyFill="1" applyBorder="1" applyAlignment="1" applyProtection="1">
      <alignment horizontal="center" vertical="center"/>
    </xf>
    <xf numFmtId="49" fontId="6" fillId="2" borderId="16" xfId="1" applyNumberFormat="1" applyFont="1" applyFill="1" applyBorder="1" applyAlignment="1" applyProtection="1">
      <alignment horizontal="center" vertical="center"/>
    </xf>
    <xf numFmtId="49" fontId="6" fillId="2" borderId="17" xfId="1" applyNumberFormat="1" applyFont="1" applyFill="1" applyBorder="1" applyAlignment="1" applyProtection="1">
      <alignment horizontal="center" vertical="center"/>
    </xf>
    <xf numFmtId="0" fontId="5" fillId="0" borderId="12" xfId="1" applyFont="1" applyBorder="1" applyAlignment="1" applyProtection="1">
      <alignment horizontal="left" vertical="center"/>
    </xf>
    <xf numFmtId="0" fontId="5" fillId="0" borderId="13" xfId="1" applyFont="1" applyBorder="1" applyAlignment="1" applyProtection="1">
      <alignment horizontal="left" vertical="center"/>
    </xf>
    <xf numFmtId="0" fontId="5" fillId="0" borderId="14" xfId="1" applyFont="1" applyBorder="1" applyAlignment="1" applyProtection="1">
      <alignment horizontal="left" vertical="center"/>
    </xf>
    <xf numFmtId="0" fontId="21" fillId="0" borderId="10" xfId="0" applyFont="1" applyBorder="1" applyAlignment="1" applyProtection="1">
      <alignment horizontal="left" vertical="center"/>
    </xf>
    <xf numFmtId="0" fontId="21" fillId="4" borderId="15" xfId="0" applyFont="1" applyFill="1" applyBorder="1" applyAlignment="1" applyProtection="1">
      <alignment horizontal="center" vertical="center"/>
      <protection locked="0"/>
    </xf>
    <xf numFmtId="0" fontId="21" fillId="4" borderId="16" xfId="0" applyFont="1" applyFill="1" applyBorder="1" applyAlignment="1" applyProtection="1">
      <alignment horizontal="center" vertical="center"/>
      <protection locked="0"/>
    </xf>
    <xf numFmtId="0" fontId="21" fillId="4" borderId="17" xfId="0" applyFont="1" applyFill="1" applyBorder="1" applyAlignment="1" applyProtection="1">
      <alignment horizontal="center" vertical="center"/>
      <protection locked="0"/>
    </xf>
    <xf numFmtId="0" fontId="32" fillId="0" borderId="10" xfId="0" applyFont="1" applyBorder="1" applyAlignment="1" applyProtection="1">
      <alignment horizontal="left" vertical="center"/>
    </xf>
    <xf numFmtId="0" fontId="21" fillId="2" borderId="15" xfId="0" applyFont="1" applyFill="1" applyBorder="1" applyAlignment="1" applyProtection="1">
      <alignment horizontal="center" vertical="center"/>
    </xf>
    <xf numFmtId="0" fontId="21" fillId="2" borderId="16" xfId="0" applyFont="1" applyFill="1" applyBorder="1" applyAlignment="1" applyProtection="1">
      <alignment horizontal="center" vertical="center"/>
    </xf>
    <xf numFmtId="0" fontId="21" fillId="2" borderId="17" xfId="0" applyFont="1" applyFill="1" applyBorder="1" applyAlignment="1" applyProtection="1">
      <alignment horizontal="center" vertical="center"/>
    </xf>
    <xf numFmtId="0" fontId="21" fillId="2" borderId="15" xfId="0" applyFont="1" applyFill="1" applyBorder="1" applyAlignment="1" applyProtection="1">
      <alignment horizontal="center" vertical="center" wrapText="1"/>
    </xf>
    <xf numFmtId="0" fontId="21" fillId="2" borderId="16" xfId="0" applyFont="1" applyFill="1" applyBorder="1" applyAlignment="1" applyProtection="1">
      <alignment horizontal="center" vertical="center" wrapText="1"/>
    </xf>
    <xf numFmtId="0" fontId="21" fillId="2" borderId="17" xfId="0" applyFont="1" applyFill="1" applyBorder="1" applyAlignment="1" applyProtection="1">
      <alignment horizontal="center" vertical="center" wrapText="1"/>
    </xf>
    <xf numFmtId="0" fontId="31" fillId="9" borderId="15" xfId="0" applyFont="1" applyFill="1" applyBorder="1" applyAlignment="1" applyProtection="1">
      <alignment horizontal="center" vertical="center"/>
      <protection hidden="1"/>
    </xf>
    <xf numFmtId="0" fontId="31" fillId="9" borderId="16" xfId="0" applyFont="1" applyFill="1" applyBorder="1" applyAlignment="1" applyProtection="1">
      <alignment horizontal="center" vertical="center"/>
      <protection hidden="1"/>
    </xf>
    <xf numFmtId="0" fontId="31" fillId="9" borderId="17" xfId="0" applyFont="1" applyFill="1" applyBorder="1" applyAlignment="1" applyProtection="1">
      <alignment horizontal="center" vertical="center"/>
      <protection hidden="1"/>
    </xf>
    <xf numFmtId="172" fontId="32" fillId="4" borderId="15" xfId="6" applyNumberFormat="1" applyFont="1" applyFill="1" applyBorder="1" applyAlignment="1" applyProtection="1">
      <alignment horizontal="center" vertical="center"/>
      <protection hidden="1"/>
    </xf>
    <xf numFmtId="172" fontId="32" fillId="4" borderId="16" xfId="6" applyNumberFormat="1" applyFont="1" applyFill="1" applyBorder="1" applyAlignment="1" applyProtection="1">
      <alignment horizontal="center" vertical="center"/>
      <protection hidden="1"/>
    </xf>
    <xf numFmtId="172" fontId="32" fillId="4" borderId="17" xfId="6" applyNumberFormat="1" applyFont="1" applyFill="1" applyBorder="1" applyAlignment="1" applyProtection="1">
      <alignment horizontal="center" vertical="center"/>
      <protection hidden="1"/>
    </xf>
    <xf numFmtId="173" fontId="32" fillId="4" borderId="15" xfId="6" applyNumberFormat="1" applyFont="1" applyFill="1" applyBorder="1" applyAlignment="1" applyProtection="1">
      <alignment horizontal="center" vertical="center"/>
      <protection hidden="1"/>
    </xf>
    <xf numFmtId="173" fontId="32" fillId="4" borderId="16" xfId="6" applyNumberFormat="1" applyFont="1" applyFill="1" applyBorder="1" applyAlignment="1" applyProtection="1">
      <alignment horizontal="center" vertical="center"/>
      <protection hidden="1"/>
    </xf>
    <xf numFmtId="173" fontId="32" fillId="4" borderId="17" xfId="6" applyNumberFormat="1" applyFont="1" applyFill="1" applyBorder="1" applyAlignment="1" applyProtection="1">
      <alignment horizontal="center" vertical="center"/>
      <protection hidden="1"/>
    </xf>
    <xf numFmtId="0" fontId="33" fillId="0" borderId="4" xfId="0" applyFont="1" applyBorder="1" applyAlignment="1" applyProtection="1">
      <alignment horizontal="left" vertical="center" wrapText="1"/>
    </xf>
    <xf numFmtId="0" fontId="33" fillId="0" borderId="0" xfId="0" applyFont="1" applyBorder="1" applyAlignment="1" applyProtection="1">
      <alignment horizontal="left" vertical="center" wrapText="1"/>
    </xf>
    <xf numFmtId="0" fontId="31" fillId="10" borderId="18" xfId="0" applyFont="1" applyFill="1" applyBorder="1" applyAlignment="1" applyProtection="1">
      <alignment horizontal="center" vertical="center"/>
      <protection locked="0"/>
    </xf>
    <xf numFmtId="2" fontId="31" fillId="10" borderId="18" xfId="0" applyNumberFormat="1" applyFont="1" applyFill="1" applyBorder="1" applyAlignment="1" applyProtection="1">
      <alignment horizontal="center" vertical="center"/>
      <protection locked="0"/>
    </xf>
    <xf numFmtId="0" fontId="21" fillId="9" borderId="15" xfId="0" applyFont="1" applyFill="1" applyBorder="1" applyAlignment="1" applyProtection="1">
      <alignment horizontal="center" vertical="center"/>
      <protection hidden="1"/>
    </xf>
    <xf numFmtId="0" fontId="21" fillId="9" borderId="16" xfId="0" applyFont="1" applyFill="1" applyBorder="1" applyAlignment="1" applyProtection="1">
      <alignment horizontal="center" vertical="center"/>
      <protection hidden="1"/>
    </xf>
    <xf numFmtId="0" fontId="21" fillId="9" borderId="17" xfId="0" applyFont="1" applyFill="1" applyBorder="1" applyAlignment="1" applyProtection="1">
      <alignment horizontal="center" vertical="center"/>
      <protection hidden="1"/>
    </xf>
    <xf numFmtId="2" fontId="21" fillId="4" borderId="18" xfId="0" applyNumberFormat="1" applyFont="1" applyFill="1" applyBorder="1" applyAlignment="1" applyProtection="1">
      <alignment horizontal="center" vertical="center"/>
      <protection hidden="1"/>
    </xf>
    <xf numFmtId="0" fontId="19" fillId="0" borderId="4" xfId="0" applyFont="1" applyBorder="1" applyAlignment="1" applyProtection="1">
      <alignment horizontal="left" vertical="center" wrapText="1"/>
    </xf>
    <xf numFmtId="0" fontId="19" fillId="0" borderId="0" xfId="0" applyFont="1" applyBorder="1" applyAlignment="1" applyProtection="1">
      <alignment horizontal="left" vertical="center" wrapText="1"/>
    </xf>
    <xf numFmtId="0" fontId="13" fillId="2" borderId="22" xfId="0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</xf>
    <xf numFmtId="0" fontId="13" fillId="2" borderId="3" xfId="0" applyFont="1" applyFill="1" applyBorder="1" applyAlignment="1" applyProtection="1">
      <alignment horizontal="center" vertical="center" wrapText="1"/>
    </xf>
    <xf numFmtId="0" fontId="13" fillId="2" borderId="5" xfId="0" applyFont="1" applyFill="1" applyBorder="1" applyAlignment="1" applyProtection="1">
      <alignment horizontal="center" vertical="center" wrapText="1"/>
    </xf>
    <xf numFmtId="0" fontId="13" fillId="2" borderId="9" xfId="0" applyFont="1" applyFill="1" applyBorder="1" applyAlignment="1" applyProtection="1">
      <alignment horizontal="center" vertical="center" wrapText="1"/>
    </xf>
    <xf numFmtId="0" fontId="13" fillId="2" borderId="11" xfId="0" applyFont="1" applyFill="1" applyBorder="1" applyAlignment="1" applyProtection="1">
      <alignment horizontal="center" vertical="center" wrapText="1"/>
    </xf>
    <xf numFmtId="49" fontId="2" fillId="2" borderId="18" xfId="1" applyNumberFormat="1" applyFont="1" applyFill="1" applyBorder="1" applyAlignment="1" applyProtection="1">
      <alignment horizontal="center" vertical="center" wrapText="1"/>
    </xf>
    <xf numFmtId="0" fontId="35" fillId="10" borderId="18" xfId="0" applyFont="1" applyFill="1" applyBorder="1" applyAlignment="1" applyProtection="1">
      <alignment horizontal="center" vertical="center"/>
      <protection locked="0"/>
    </xf>
    <xf numFmtId="49" fontId="2" fillId="2" borderId="3" xfId="1" applyNumberFormat="1" applyFont="1" applyFill="1" applyBorder="1" applyAlignment="1" applyProtection="1">
      <alignment horizontal="center" vertical="center" wrapText="1"/>
    </xf>
    <xf numFmtId="49" fontId="2" fillId="2" borderId="5" xfId="1" applyNumberFormat="1" applyFont="1" applyFill="1" applyBorder="1" applyAlignment="1" applyProtection="1">
      <alignment horizontal="center" vertical="center" wrapText="1"/>
    </xf>
    <xf numFmtId="49" fontId="2" fillId="2" borderId="9" xfId="1" applyNumberFormat="1" applyFont="1" applyFill="1" applyBorder="1" applyAlignment="1" applyProtection="1">
      <alignment horizontal="center" vertical="center" wrapText="1"/>
    </xf>
    <xf numFmtId="49" fontId="2" fillId="2" borderId="11" xfId="1" applyNumberFormat="1" applyFont="1" applyFill="1" applyBorder="1" applyAlignment="1" applyProtection="1">
      <alignment horizontal="center" vertical="center" wrapText="1"/>
    </xf>
    <xf numFmtId="49" fontId="2" fillId="2" borderId="15" xfId="1" applyNumberFormat="1" applyFont="1" applyFill="1" applyBorder="1" applyAlignment="1" applyProtection="1">
      <alignment horizontal="center" vertical="center" wrapText="1"/>
    </xf>
    <xf numFmtId="49" fontId="2" fillId="2" borderId="16" xfId="1" applyNumberFormat="1" applyFont="1" applyFill="1" applyBorder="1" applyAlignment="1" applyProtection="1">
      <alignment horizontal="center" vertical="center" wrapText="1"/>
    </xf>
    <xf numFmtId="49" fontId="2" fillId="2" borderId="17" xfId="1" applyNumberFormat="1" applyFont="1" applyFill="1" applyBorder="1" applyAlignment="1" applyProtection="1">
      <alignment horizontal="center" vertical="center" wrapText="1"/>
    </xf>
    <xf numFmtId="0" fontId="13" fillId="9" borderId="15" xfId="0" applyFont="1" applyFill="1" applyBorder="1" applyAlignment="1" applyProtection="1">
      <alignment horizontal="center" vertical="center"/>
      <protection hidden="1"/>
    </xf>
    <xf numFmtId="0" fontId="13" fillId="9" borderId="16" xfId="0" applyFont="1" applyFill="1" applyBorder="1" applyAlignment="1" applyProtection="1">
      <alignment horizontal="center" vertical="center"/>
      <protection hidden="1"/>
    </xf>
    <xf numFmtId="0" fontId="13" fillId="9" borderId="17" xfId="0" applyFont="1" applyFill="1" applyBorder="1" applyAlignment="1" applyProtection="1">
      <alignment horizontal="center" vertical="center"/>
      <protection hidden="1"/>
    </xf>
    <xf numFmtId="0" fontId="21" fillId="4" borderId="15" xfId="0" applyFont="1" applyFill="1" applyBorder="1" applyAlignment="1" applyProtection="1">
      <alignment horizontal="center" vertical="center"/>
      <protection hidden="1"/>
    </xf>
    <xf numFmtId="0" fontId="21" fillId="4" borderId="16" xfId="0" applyFont="1" applyFill="1" applyBorder="1" applyAlignment="1" applyProtection="1">
      <alignment horizontal="center" vertical="center"/>
      <protection hidden="1"/>
    </xf>
    <xf numFmtId="0" fontId="21" fillId="4" borderId="17" xfId="0" applyFont="1" applyFill="1" applyBorder="1" applyAlignment="1" applyProtection="1">
      <alignment horizontal="center" vertical="center"/>
      <protection hidden="1"/>
    </xf>
    <xf numFmtId="0" fontId="0" fillId="9" borderId="15" xfId="0" applyFill="1" applyBorder="1" applyAlignment="1" applyProtection="1">
      <alignment horizontal="center" vertical="center"/>
      <protection hidden="1"/>
    </xf>
    <xf numFmtId="0" fontId="0" fillId="9" borderId="16" xfId="0" applyFill="1" applyBorder="1" applyAlignment="1" applyProtection="1">
      <alignment horizontal="center" vertical="center"/>
      <protection hidden="1"/>
    </xf>
    <xf numFmtId="0" fontId="0" fillId="9" borderId="17" xfId="0" applyFill="1" applyBorder="1" applyAlignment="1" applyProtection="1">
      <alignment horizontal="center" vertical="center"/>
      <protection hidden="1"/>
    </xf>
    <xf numFmtId="0" fontId="13" fillId="2" borderId="18" xfId="0" applyFont="1" applyFill="1" applyBorder="1" applyAlignment="1" applyProtection="1">
      <alignment horizontal="center" vertical="center" wrapText="1"/>
    </xf>
    <xf numFmtId="49" fontId="13" fillId="2" borderId="18" xfId="1" applyNumberFormat="1" applyFont="1" applyFill="1" applyBorder="1" applyAlignment="1" applyProtection="1">
      <alignment horizontal="center" vertical="center" wrapText="1"/>
    </xf>
    <xf numFmtId="49" fontId="13" fillId="2" borderId="3" xfId="1" applyNumberFormat="1" applyFont="1" applyFill="1" applyBorder="1" applyAlignment="1" applyProtection="1">
      <alignment horizontal="center" vertical="center" wrapText="1"/>
    </xf>
    <xf numFmtId="49" fontId="13" fillId="2" borderId="4" xfId="1" applyNumberFormat="1" applyFont="1" applyFill="1" applyBorder="1" applyAlignment="1" applyProtection="1">
      <alignment horizontal="center" vertical="center" wrapText="1"/>
    </xf>
    <xf numFmtId="0" fontId="31" fillId="4" borderId="18" xfId="0" applyFont="1" applyFill="1" applyBorder="1" applyAlignment="1" applyProtection="1">
      <alignment horizontal="center" vertical="center"/>
      <protection hidden="1"/>
    </xf>
    <xf numFmtId="49" fontId="13" fillId="2" borderId="5" xfId="1" applyNumberFormat="1" applyFont="1" applyFill="1" applyBorder="1" applyAlignment="1" applyProtection="1">
      <alignment horizontal="center" vertical="center" wrapText="1"/>
    </xf>
    <xf numFmtId="0" fontId="12" fillId="2" borderId="15" xfId="0" applyFont="1" applyFill="1" applyBorder="1" applyAlignment="1" applyProtection="1">
      <alignment horizontal="left" vertical="center"/>
    </xf>
    <xf numFmtId="0" fontId="12" fillId="2" borderId="16" xfId="0" applyFont="1" applyFill="1" applyBorder="1" applyAlignment="1" applyProtection="1">
      <alignment horizontal="left" vertical="center"/>
    </xf>
    <xf numFmtId="49" fontId="8" fillId="2" borderId="18" xfId="1" applyNumberFormat="1" applyFont="1" applyFill="1" applyBorder="1" applyAlignment="1" applyProtection="1">
      <alignment horizontal="center" vertical="center"/>
    </xf>
    <xf numFmtId="49" fontId="8" fillId="2" borderId="15" xfId="1" applyNumberFormat="1" applyFont="1" applyFill="1" applyBorder="1" applyAlignment="1" applyProtection="1">
      <alignment horizontal="center" vertical="center"/>
    </xf>
    <xf numFmtId="49" fontId="8" fillId="2" borderId="16" xfId="1" applyNumberFormat="1" applyFont="1" applyFill="1" applyBorder="1" applyAlignment="1" applyProtection="1">
      <alignment horizontal="center" vertical="center"/>
    </xf>
    <xf numFmtId="49" fontId="8" fillId="2" borderId="17" xfId="1" applyNumberFormat="1" applyFont="1" applyFill="1" applyBorder="1" applyAlignment="1" applyProtection="1">
      <alignment horizontal="center" vertical="center"/>
    </xf>
    <xf numFmtId="0" fontId="21" fillId="4" borderId="18" xfId="0" applyFont="1" applyFill="1" applyBorder="1" applyAlignment="1" applyProtection="1">
      <alignment horizontal="center" vertical="center"/>
      <protection hidden="1"/>
    </xf>
    <xf numFmtId="0" fontId="13" fillId="9" borderId="18" xfId="0" applyFont="1" applyFill="1" applyBorder="1" applyAlignment="1" applyProtection="1">
      <alignment horizontal="center" vertical="center"/>
      <protection hidden="1"/>
    </xf>
    <xf numFmtId="0" fontId="13" fillId="4" borderId="15" xfId="0" applyFont="1" applyFill="1" applyBorder="1" applyAlignment="1" applyProtection="1">
      <alignment horizontal="left" vertical="center"/>
    </xf>
    <xf numFmtId="0" fontId="13" fillId="4" borderId="16" xfId="0" applyFont="1" applyFill="1" applyBorder="1" applyAlignment="1" applyProtection="1">
      <alignment horizontal="left" vertical="center"/>
    </xf>
    <xf numFmtId="0" fontId="13" fillId="4" borderId="18" xfId="0" applyFont="1" applyFill="1" applyBorder="1" applyAlignment="1" applyProtection="1">
      <alignment horizontal="center" vertical="center"/>
    </xf>
    <xf numFmtId="0" fontId="31" fillId="10" borderId="18" xfId="0" applyFont="1" applyFill="1" applyBorder="1" applyAlignment="1" applyProtection="1">
      <alignment horizontal="left" vertical="center"/>
      <protection locked="0"/>
    </xf>
    <xf numFmtId="2" fontId="32" fillId="10" borderId="18" xfId="0" applyNumberFormat="1" applyFont="1" applyFill="1" applyBorder="1" applyAlignment="1" applyProtection="1">
      <alignment horizontal="center" vertical="center"/>
      <protection locked="0"/>
    </xf>
    <xf numFmtId="0" fontId="13" fillId="4" borderId="18" xfId="0" applyFont="1" applyFill="1" applyBorder="1" applyAlignment="1" applyProtection="1">
      <alignment horizontal="left" vertical="center"/>
    </xf>
    <xf numFmtId="2" fontId="32" fillId="4" borderId="18" xfId="0" applyNumberFormat="1" applyFont="1" applyFill="1" applyBorder="1" applyAlignment="1" applyProtection="1">
      <alignment horizontal="center" vertical="center"/>
      <protection hidden="1"/>
    </xf>
    <xf numFmtId="0" fontId="24" fillId="0" borderId="1" xfId="0" applyFont="1" applyBorder="1" applyAlignment="1" applyProtection="1">
      <alignment horizontal="left" vertical="center" wrapText="1"/>
    </xf>
    <xf numFmtId="0" fontId="32" fillId="10" borderId="18" xfId="0" applyFont="1" applyFill="1" applyBorder="1" applyAlignment="1" applyProtection="1">
      <alignment horizontal="center" vertical="center"/>
      <protection locked="0"/>
    </xf>
    <xf numFmtId="0" fontId="2" fillId="0" borderId="15" xfId="1" applyFont="1" applyFill="1" applyBorder="1" applyAlignment="1" applyProtection="1">
      <alignment horizontal="left" vertical="center" wrapText="1"/>
    </xf>
    <xf numFmtId="0" fontId="2" fillId="0" borderId="16" xfId="1" applyFont="1" applyFill="1" applyBorder="1" applyAlignment="1" applyProtection="1">
      <alignment horizontal="left" vertical="center" wrapText="1"/>
    </xf>
    <xf numFmtId="0" fontId="2" fillId="0" borderId="17" xfId="1" applyFont="1" applyFill="1" applyBorder="1" applyAlignment="1" applyProtection="1">
      <alignment horizontal="left" vertical="center" wrapText="1"/>
    </xf>
    <xf numFmtId="169" fontId="2" fillId="0" borderId="15" xfId="1" applyNumberFormat="1" applyFont="1" applyBorder="1" applyAlignment="1" applyProtection="1">
      <alignment horizontal="left" vertical="center" wrapText="1"/>
    </xf>
    <xf numFmtId="169" fontId="2" fillId="0" borderId="16" xfId="1" applyNumberFormat="1" applyFont="1" applyBorder="1" applyAlignment="1" applyProtection="1">
      <alignment horizontal="left" vertical="center" wrapText="1"/>
    </xf>
    <xf numFmtId="169" fontId="2" fillId="0" borderId="17" xfId="1" applyNumberFormat="1" applyFont="1" applyBorder="1" applyAlignment="1" applyProtection="1">
      <alignment horizontal="left" vertical="center" wrapText="1"/>
    </xf>
    <xf numFmtId="0" fontId="5" fillId="0" borderId="15" xfId="1" applyFont="1" applyFill="1" applyBorder="1" applyAlignment="1" applyProtection="1">
      <alignment horizontal="center" vertical="center"/>
      <protection hidden="1"/>
    </xf>
    <xf numFmtId="0" fontId="5" fillId="0" borderId="16" xfId="1" applyFont="1" applyFill="1" applyBorder="1" applyAlignment="1" applyProtection="1">
      <alignment horizontal="center" vertical="center"/>
      <protection hidden="1"/>
    </xf>
    <xf numFmtId="0" fontId="5" fillId="0" borderId="17" xfId="1" applyFont="1" applyFill="1" applyBorder="1" applyAlignment="1" applyProtection="1">
      <alignment horizontal="center" vertical="center"/>
      <protection hidden="1"/>
    </xf>
    <xf numFmtId="0" fontId="2" fillId="2" borderId="15" xfId="1" applyFont="1" applyFill="1" applyBorder="1" applyAlignment="1" applyProtection="1">
      <alignment horizontal="left" vertical="center"/>
    </xf>
    <xf numFmtId="0" fontId="2" fillId="2" borderId="16" xfId="1" applyFont="1" applyFill="1" applyBorder="1" applyAlignment="1" applyProtection="1">
      <alignment horizontal="left" vertical="center"/>
    </xf>
    <xf numFmtId="0" fontId="2" fillId="2" borderId="17" xfId="1" applyFont="1" applyFill="1" applyBorder="1" applyAlignment="1" applyProtection="1">
      <alignment horizontal="left" vertical="center"/>
    </xf>
    <xf numFmtId="172" fontId="5" fillId="0" borderId="15" xfId="6" applyNumberFormat="1" applyFont="1" applyFill="1" applyBorder="1" applyAlignment="1" applyProtection="1">
      <alignment horizontal="center" vertical="center"/>
      <protection hidden="1"/>
    </xf>
    <xf numFmtId="172" fontId="5" fillId="0" borderId="16" xfId="6" applyNumberFormat="1" applyFont="1" applyFill="1" applyBorder="1" applyAlignment="1" applyProtection="1">
      <alignment horizontal="center" vertical="center"/>
      <protection hidden="1"/>
    </xf>
    <xf numFmtId="0" fontId="21" fillId="9" borderId="15" xfId="0" applyFont="1" applyFill="1" applyBorder="1" applyAlignment="1" applyProtection="1">
      <alignment horizontal="center" vertical="center"/>
      <protection locked="0"/>
    </xf>
    <xf numFmtId="0" fontId="21" fillId="9" borderId="16" xfId="0" applyFont="1" applyFill="1" applyBorder="1" applyAlignment="1" applyProtection="1">
      <alignment horizontal="center" vertical="center"/>
      <protection locked="0"/>
    </xf>
    <xf numFmtId="0" fontId="21" fillId="9" borderId="17" xfId="0" applyFont="1" applyFill="1" applyBorder="1" applyAlignment="1" applyProtection="1">
      <alignment horizontal="center" vertical="center"/>
      <protection locked="0"/>
    </xf>
    <xf numFmtId="49" fontId="2" fillId="0" borderId="15" xfId="1" applyNumberFormat="1" applyFont="1" applyFill="1" applyBorder="1" applyAlignment="1" applyProtection="1">
      <alignment horizontal="center" vertical="center"/>
      <protection locked="0"/>
    </xf>
    <xf numFmtId="49" fontId="2" fillId="0" borderId="16" xfId="1" applyNumberFormat="1" applyFont="1" applyFill="1" applyBorder="1" applyAlignment="1" applyProtection="1">
      <alignment horizontal="center" vertical="center"/>
      <protection locked="0"/>
    </xf>
    <xf numFmtId="49" fontId="2" fillId="0" borderId="17" xfId="1" applyNumberFormat="1" applyFont="1" applyFill="1" applyBorder="1" applyAlignment="1" applyProtection="1">
      <alignment horizontal="center" vertical="center"/>
      <protection locked="0"/>
    </xf>
    <xf numFmtId="169" fontId="2" fillId="0" borderId="15" xfId="1" applyNumberFormat="1" applyFont="1" applyBorder="1" applyAlignment="1" applyProtection="1">
      <alignment horizontal="left" vertical="center"/>
    </xf>
    <xf numFmtId="169" fontId="2" fillId="0" borderId="16" xfId="1" applyNumberFormat="1" applyFont="1" applyBorder="1" applyAlignment="1" applyProtection="1">
      <alignment horizontal="left" vertical="center"/>
    </xf>
    <xf numFmtId="169" fontId="2" fillId="0" borderId="17" xfId="1" applyNumberFormat="1" applyFont="1" applyBorder="1" applyAlignment="1" applyProtection="1">
      <alignment horizontal="left" vertical="center"/>
    </xf>
    <xf numFmtId="0" fontId="13" fillId="0" borderId="15" xfId="0" applyFont="1" applyBorder="1" applyAlignment="1" applyProtection="1">
      <alignment horizontal="center" vertical="center"/>
      <protection locked="0"/>
    </xf>
    <xf numFmtId="0" fontId="13" fillId="0" borderId="16" xfId="0" applyFont="1" applyBorder="1" applyAlignment="1" applyProtection="1">
      <alignment horizontal="center" vertical="center"/>
      <protection locked="0"/>
    </xf>
    <xf numFmtId="0" fontId="13" fillId="0" borderId="17" xfId="0" applyFont="1" applyBorder="1" applyAlignment="1" applyProtection="1">
      <alignment horizontal="center" vertical="center"/>
      <protection locked="0"/>
    </xf>
    <xf numFmtId="1" fontId="2" fillId="0" borderId="15" xfId="1" quotePrefix="1" applyNumberFormat="1" applyFont="1" applyBorder="1" applyAlignment="1" applyProtection="1">
      <alignment horizontal="center" vertical="center"/>
      <protection locked="0"/>
    </xf>
    <xf numFmtId="1" fontId="2" fillId="0" borderId="16" xfId="1" applyNumberFormat="1" applyFont="1" applyBorder="1" applyAlignment="1" applyProtection="1">
      <alignment horizontal="center" vertical="center"/>
      <protection locked="0"/>
    </xf>
    <xf numFmtId="1" fontId="2" fillId="0" borderId="17" xfId="1" applyNumberFormat="1" applyFont="1" applyBorder="1" applyAlignment="1" applyProtection="1">
      <alignment horizontal="center" vertical="center"/>
      <protection locked="0"/>
    </xf>
    <xf numFmtId="0" fontId="4" fillId="0" borderId="1" xfId="1" applyFont="1" applyBorder="1" applyAlignment="1" applyProtection="1">
      <alignment horizontal="center" vertical="center" wrapText="1"/>
    </xf>
    <xf numFmtId="0" fontId="4" fillId="0" borderId="30" xfId="1" applyFont="1" applyBorder="1" applyAlignment="1" applyProtection="1">
      <alignment horizontal="center" vertical="center" wrapText="1"/>
    </xf>
    <xf numFmtId="0" fontId="4" fillId="0" borderId="0" xfId="1" applyFont="1" applyBorder="1" applyAlignment="1" applyProtection="1">
      <alignment horizontal="center" vertical="center" wrapText="1"/>
    </xf>
    <xf numFmtId="0" fontId="4" fillId="0" borderId="6" xfId="1" applyFont="1" applyBorder="1" applyAlignment="1" applyProtection="1">
      <alignment horizontal="center" vertical="center" wrapText="1"/>
    </xf>
    <xf numFmtId="0" fontId="4" fillId="0" borderId="20" xfId="1" applyFont="1" applyBorder="1" applyAlignment="1" applyProtection="1">
      <alignment horizontal="center" vertical="center" wrapText="1"/>
    </xf>
    <xf numFmtId="0" fontId="4" fillId="0" borderId="21" xfId="1" applyFont="1" applyBorder="1" applyAlignment="1" applyProtection="1">
      <alignment horizontal="center" vertical="center" wrapText="1"/>
    </xf>
    <xf numFmtId="0" fontId="2" fillId="2" borderId="15" xfId="1" quotePrefix="1" applyFont="1" applyFill="1" applyBorder="1" applyAlignment="1" applyProtection="1">
      <alignment horizontal="left" vertical="center"/>
    </xf>
    <xf numFmtId="0" fontId="2" fillId="2" borderId="16" xfId="1" quotePrefix="1" applyFont="1" applyFill="1" applyBorder="1" applyAlignment="1" applyProtection="1">
      <alignment horizontal="left" vertical="center"/>
    </xf>
    <xf numFmtId="0" fontId="2" fillId="2" borderId="17" xfId="1" quotePrefix="1" applyFont="1" applyFill="1" applyBorder="1" applyAlignment="1" applyProtection="1">
      <alignment horizontal="left" vertical="center"/>
    </xf>
    <xf numFmtId="0" fontId="21" fillId="4" borderId="15" xfId="0" applyFont="1" applyFill="1" applyBorder="1" applyAlignment="1" applyProtection="1">
      <alignment horizontal="center" vertical="center" wrapText="1"/>
      <protection locked="0"/>
    </xf>
    <xf numFmtId="0" fontId="21" fillId="4" borderId="16" xfId="0" applyFont="1" applyFill="1" applyBorder="1" applyAlignment="1" applyProtection="1">
      <alignment horizontal="center" vertical="center" wrapText="1"/>
      <protection locked="0"/>
    </xf>
    <xf numFmtId="0" fontId="21" fillId="4" borderId="17" xfId="0" applyFont="1" applyFill="1" applyBorder="1" applyAlignment="1" applyProtection="1">
      <alignment horizontal="center" vertical="center" wrapText="1"/>
      <protection locked="0"/>
    </xf>
    <xf numFmtId="1" fontId="13" fillId="0" borderId="18" xfId="0" applyNumberFormat="1" applyFont="1" applyBorder="1" applyAlignment="1" applyProtection="1">
      <alignment horizontal="center" vertical="center"/>
      <protection locked="0"/>
    </xf>
    <xf numFmtId="49" fontId="2" fillId="2" borderId="15" xfId="1" applyNumberFormat="1" applyFont="1" applyFill="1" applyBorder="1" applyAlignment="1" applyProtection="1">
      <alignment horizontal="center" vertical="center"/>
    </xf>
    <xf numFmtId="49" fontId="2" fillId="2" borderId="16" xfId="1" applyNumberFormat="1" applyFont="1" applyFill="1" applyBorder="1" applyAlignment="1" applyProtection="1">
      <alignment horizontal="center" vertical="center"/>
    </xf>
    <xf numFmtId="49" fontId="2" fillId="2" borderId="17" xfId="1" applyNumberFormat="1" applyFont="1" applyFill="1" applyBorder="1" applyAlignment="1" applyProtection="1">
      <alignment horizontal="center" vertical="center"/>
    </xf>
    <xf numFmtId="14" fontId="2" fillId="0" borderId="15" xfId="1" applyNumberFormat="1" applyFont="1" applyBorder="1" applyAlignment="1" applyProtection="1">
      <alignment horizontal="center" vertical="center"/>
      <protection locked="0"/>
    </xf>
    <xf numFmtId="0" fontId="2" fillId="0" borderId="16" xfId="1" applyNumberFormat="1" applyFont="1" applyBorder="1" applyAlignment="1" applyProtection="1">
      <alignment horizontal="center" vertical="center"/>
      <protection locked="0"/>
    </xf>
    <xf numFmtId="0" fontId="2" fillId="0" borderId="17" xfId="1" applyNumberFormat="1" applyFont="1" applyBorder="1" applyAlignment="1" applyProtection="1">
      <alignment horizontal="center" vertical="center"/>
      <protection locked="0"/>
    </xf>
    <xf numFmtId="49" fontId="2" fillId="0" borderId="15" xfId="1" applyNumberFormat="1" applyFont="1" applyBorder="1" applyAlignment="1" applyProtection="1">
      <alignment horizontal="center" vertical="center"/>
      <protection locked="0"/>
    </xf>
    <xf numFmtId="49" fontId="2" fillId="0" borderId="16" xfId="1" applyNumberFormat="1" applyFont="1" applyBorder="1" applyAlignment="1" applyProtection="1">
      <alignment horizontal="center" vertical="center"/>
      <protection locked="0"/>
    </xf>
    <xf numFmtId="49" fontId="2" fillId="0" borderId="17" xfId="1" applyNumberFormat="1" applyFont="1" applyBorder="1" applyAlignment="1" applyProtection="1">
      <alignment horizontal="center" vertical="center"/>
      <protection locked="0"/>
    </xf>
    <xf numFmtId="0" fontId="21" fillId="0" borderId="15" xfId="0" applyFont="1" applyBorder="1" applyAlignment="1" applyProtection="1">
      <alignment horizontal="center" vertical="center"/>
      <protection locked="0"/>
    </xf>
    <xf numFmtId="0" fontId="21" fillId="0" borderId="16" xfId="0" applyFont="1" applyBorder="1" applyAlignment="1" applyProtection="1">
      <alignment horizontal="center" vertical="center"/>
      <protection locked="0"/>
    </xf>
    <xf numFmtId="0" fontId="21" fillId="0" borderId="17" xfId="0" applyFont="1" applyBorder="1" applyAlignment="1" applyProtection="1">
      <alignment horizontal="center" vertical="center"/>
      <protection locked="0"/>
    </xf>
    <xf numFmtId="0" fontId="2" fillId="2" borderId="18" xfId="1" applyFont="1" applyFill="1" applyBorder="1" applyAlignment="1" applyProtection="1">
      <alignment horizontal="left" vertical="center"/>
    </xf>
    <xf numFmtId="0" fontId="2" fillId="0" borderId="18" xfId="1" applyFont="1" applyFill="1" applyBorder="1" applyAlignment="1" applyProtection="1">
      <alignment horizontal="center" vertical="center"/>
      <protection locked="0"/>
    </xf>
    <xf numFmtId="166" fontId="2" fillId="0" borderId="15" xfId="1" applyNumberFormat="1" applyFont="1" applyBorder="1" applyAlignment="1" applyProtection="1">
      <alignment horizontal="center" vertical="center"/>
    </xf>
    <xf numFmtId="166" fontId="2" fillId="0" borderId="17" xfId="1" applyNumberFormat="1" applyFont="1" applyBorder="1" applyAlignment="1" applyProtection="1">
      <alignment horizontal="center" vertical="center"/>
    </xf>
    <xf numFmtId="49" fontId="5" fillId="0" borderId="15" xfId="1" applyNumberFormat="1" applyFont="1" applyFill="1" applyBorder="1" applyAlignment="1" applyProtection="1">
      <alignment horizontal="center" vertical="center"/>
      <protection locked="0"/>
    </xf>
    <xf numFmtId="49" fontId="5" fillId="0" borderId="16" xfId="1" applyNumberFormat="1" applyFont="1" applyFill="1" applyBorder="1" applyAlignment="1" applyProtection="1">
      <alignment horizontal="center" vertical="center"/>
      <protection locked="0"/>
    </xf>
    <xf numFmtId="49" fontId="5" fillId="0" borderId="17" xfId="1" applyNumberFormat="1" applyFont="1" applyFill="1" applyBorder="1" applyAlignment="1" applyProtection="1">
      <alignment horizontal="center" vertical="center"/>
      <protection locked="0"/>
    </xf>
    <xf numFmtId="172" fontId="21" fillId="0" borderId="15" xfId="6" applyNumberFormat="1" applyFont="1" applyBorder="1" applyAlignment="1" applyProtection="1">
      <alignment horizontal="center" vertical="center"/>
      <protection hidden="1"/>
    </xf>
    <xf numFmtId="172" fontId="21" fillId="0" borderId="16" xfId="6" applyNumberFormat="1" applyFont="1" applyBorder="1" applyAlignment="1" applyProtection="1">
      <alignment horizontal="center" vertical="center"/>
      <protection hidden="1"/>
    </xf>
    <xf numFmtId="0" fontId="2" fillId="0" borderId="15" xfId="1" applyNumberFormat="1" applyFont="1" applyBorder="1" applyAlignment="1" applyProtection="1">
      <alignment horizontal="center" vertical="center"/>
      <protection locked="0"/>
    </xf>
    <xf numFmtId="0" fontId="2" fillId="2" borderId="15" xfId="1" applyFont="1" applyFill="1" applyBorder="1" applyAlignment="1" applyProtection="1">
      <alignment horizontal="left" vertical="center" wrapText="1"/>
    </xf>
    <xf numFmtId="0" fontId="2" fillId="2" borderId="16" xfId="1" applyFont="1" applyFill="1" applyBorder="1" applyAlignment="1" applyProtection="1">
      <alignment horizontal="left" vertical="center" wrapText="1"/>
    </xf>
    <xf numFmtId="0" fontId="2" fillId="2" borderId="17" xfId="1" applyFont="1" applyFill="1" applyBorder="1" applyAlignment="1" applyProtection="1">
      <alignment horizontal="left" vertical="center" wrapText="1"/>
    </xf>
    <xf numFmtId="0" fontId="6" fillId="0" borderId="15" xfId="1" applyFont="1" applyFill="1" applyBorder="1" applyAlignment="1" applyProtection="1">
      <alignment horizontal="center" vertical="center"/>
      <protection hidden="1"/>
    </xf>
    <xf numFmtId="0" fontId="6" fillId="0" borderId="16" xfId="1" applyFont="1" applyFill="1" applyBorder="1" applyAlignment="1" applyProtection="1">
      <alignment horizontal="center" vertical="center"/>
      <protection hidden="1"/>
    </xf>
    <xf numFmtId="0" fontId="6" fillId="0" borderId="17" xfId="1" applyFont="1" applyFill="1" applyBorder="1" applyAlignment="1" applyProtection="1">
      <alignment horizontal="center" vertical="center"/>
      <protection hidden="1"/>
    </xf>
    <xf numFmtId="0" fontId="11" fillId="0" borderId="15" xfId="0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 applyProtection="1">
      <alignment horizontal="center" vertical="center"/>
      <protection locked="0"/>
    </xf>
    <xf numFmtId="0" fontId="11" fillId="0" borderId="17" xfId="0" applyFont="1" applyBorder="1" applyAlignment="1" applyProtection="1">
      <alignment horizontal="center" vertical="center"/>
      <protection locked="0"/>
    </xf>
    <xf numFmtId="0" fontId="2" fillId="0" borderId="15" xfId="1" applyFont="1" applyFill="1" applyBorder="1" applyAlignment="1" applyProtection="1">
      <alignment horizontal="center" vertical="center"/>
      <protection locked="0"/>
    </xf>
    <xf numFmtId="0" fontId="2" fillId="0" borderId="16" xfId="1" applyFont="1" applyFill="1" applyBorder="1" applyAlignment="1" applyProtection="1">
      <alignment horizontal="center" vertical="center"/>
      <protection locked="0"/>
    </xf>
    <xf numFmtId="0" fontId="2" fillId="0" borderId="17" xfId="1" applyFont="1" applyFill="1" applyBorder="1" applyAlignment="1" applyProtection="1">
      <alignment horizontal="center" vertical="center"/>
      <protection locked="0"/>
    </xf>
    <xf numFmtId="0" fontId="2" fillId="0" borderId="32" xfId="1" applyFont="1" applyBorder="1" applyAlignment="1" applyProtection="1">
      <alignment horizontal="center" vertical="center"/>
    </xf>
    <xf numFmtId="0" fontId="2" fillId="0" borderId="33" xfId="1" applyFont="1" applyBorder="1" applyAlignment="1" applyProtection="1">
      <alignment horizontal="center" vertical="center"/>
    </xf>
    <xf numFmtId="0" fontId="2" fillId="0" borderId="7" xfId="1" applyFont="1" applyBorder="1" applyAlignment="1" applyProtection="1">
      <alignment horizontal="center" vertical="center" wrapText="1"/>
      <protection locked="0"/>
    </xf>
    <xf numFmtId="0" fontId="2" fillId="0" borderId="0" xfId="1" applyFont="1" applyBorder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horizontal="center" vertical="center" wrapText="1"/>
      <protection locked="0"/>
    </xf>
    <xf numFmtId="0" fontId="2" fillId="0" borderId="29" xfId="3" applyFont="1" applyBorder="1" applyAlignment="1" applyProtection="1">
      <alignment horizontal="left" vertical="center"/>
    </xf>
    <xf numFmtId="0" fontId="2" fillId="0" borderId="1" xfId="3" applyFont="1" applyBorder="1" applyAlignment="1" applyProtection="1">
      <alignment horizontal="left" vertical="center"/>
    </xf>
    <xf numFmtId="0" fontId="2" fillId="0" borderId="45" xfId="3" applyFont="1" applyBorder="1" applyAlignment="1" applyProtection="1">
      <alignment horizontal="left" vertical="center"/>
    </xf>
    <xf numFmtId="0" fontId="2" fillId="0" borderId="48" xfId="1" applyFont="1" applyBorder="1" applyAlignment="1" applyProtection="1">
      <alignment horizontal="left" vertical="top" wrapText="1"/>
    </xf>
    <xf numFmtId="0" fontId="2" fillId="0" borderId="1" xfId="1" applyFont="1" applyBorder="1" applyAlignment="1" applyProtection="1">
      <alignment horizontal="left" vertical="top" wrapText="1"/>
    </xf>
    <xf numFmtId="0" fontId="2" fillId="0" borderId="30" xfId="1" applyFont="1" applyBorder="1" applyAlignment="1" applyProtection="1">
      <alignment horizontal="left" vertical="top" wrapText="1"/>
    </xf>
    <xf numFmtId="0" fontId="2" fillId="0" borderId="2" xfId="3" applyFont="1" applyBorder="1" applyAlignment="1" applyProtection="1">
      <alignment horizontal="left" vertical="center"/>
    </xf>
    <xf numFmtId="0" fontId="2" fillId="0" borderId="0" xfId="3" applyFont="1" applyBorder="1" applyAlignment="1" applyProtection="1">
      <alignment horizontal="left" vertical="center"/>
    </xf>
    <xf numFmtId="0" fontId="2" fillId="0" borderId="8" xfId="3" applyFont="1" applyBorder="1" applyAlignment="1" applyProtection="1">
      <alignment horizontal="left" vertical="center"/>
    </xf>
    <xf numFmtId="0" fontId="2" fillId="0" borderId="2" xfId="3" applyFont="1" applyBorder="1" applyAlignment="1" applyProtection="1">
      <alignment horizontal="left" vertical="center" wrapText="1"/>
    </xf>
    <xf numFmtId="0" fontId="2" fillId="0" borderId="0" xfId="3" applyFont="1" applyBorder="1" applyAlignment="1" applyProtection="1">
      <alignment horizontal="left" vertical="center" wrapText="1"/>
    </xf>
    <xf numFmtId="0" fontId="2" fillId="0" borderId="8" xfId="3" applyFont="1" applyBorder="1" applyAlignment="1" applyProtection="1">
      <alignment horizontal="left" vertical="center" wrapText="1"/>
    </xf>
    <xf numFmtId="0" fontId="2" fillId="0" borderId="19" xfId="3" applyFont="1" applyBorder="1" applyAlignment="1" applyProtection="1">
      <alignment horizontal="left" vertical="center" wrapText="1"/>
    </xf>
    <xf numFmtId="0" fontId="2" fillId="0" borderId="20" xfId="3" applyFont="1" applyBorder="1" applyAlignment="1" applyProtection="1">
      <alignment horizontal="left" vertical="center" wrapText="1"/>
    </xf>
    <xf numFmtId="0" fontId="2" fillId="0" borderId="31" xfId="3" applyFont="1" applyBorder="1" applyAlignment="1" applyProtection="1">
      <alignment horizontal="left" vertical="center" wrapText="1"/>
    </xf>
    <xf numFmtId="0" fontId="2" fillId="0" borderId="18" xfId="1" applyFont="1" applyFill="1" applyBorder="1" applyAlignment="1" applyProtection="1">
      <alignment horizontal="left" vertical="center" wrapText="1"/>
    </xf>
    <xf numFmtId="0" fontId="8" fillId="2" borderId="15" xfId="1" applyFont="1" applyFill="1" applyBorder="1" applyAlignment="1" applyProtection="1">
      <alignment horizontal="center" vertical="center"/>
    </xf>
    <xf numFmtId="0" fontId="8" fillId="2" borderId="16" xfId="1" applyFont="1" applyFill="1" applyBorder="1" applyAlignment="1" applyProtection="1">
      <alignment horizontal="center" vertical="center"/>
    </xf>
    <xf numFmtId="0" fontId="8" fillId="2" borderId="17" xfId="1" applyFont="1" applyFill="1" applyBorder="1" applyAlignment="1" applyProtection="1">
      <alignment horizontal="center" vertical="center"/>
    </xf>
    <xf numFmtId="0" fontId="6" fillId="0" borderId="12" xfId="1" applyFont="1" applyBorder="1" applyAlignment="1" applyProtection="1">
      <alignment horizontal="left" vertical="center"/>
    </xf>
    <xf numFmtId="0" fontId="6" fillId="0" borderId="13" xfId="1" applyFont="1" applyBorder="1" applyAlignment="1" applyProtection="1">
      <alignment horizontal="left" vertical="center"/>
    </xf>
    <xf numFmtId="0" fontId="6" fillId="0" borderId="14" xfId="1" applyFont="1" applyBorder="1" applyAlignment="1" applyProtection="1">
      <alignment horizontal="left" vertical="center"/>
    </xf>
    <xf numFmtId="0" fontId="2" fillId="0" borderId="18" xfId="1" applyFont="1" applyFill="1" applyBorder="1" applyAlignment="1" applyProtection="1">
      <alignment horizontal="center" vertical="center"/>
    </xf>
    <xf numFmtId="0" fontId="2" fillId="0" borderId="3" xfId="1" applyFont="1" applyFill="1" applyBorder="1" applyAlignment="1" applyProtection="1">
      <alignment horizontal="center" vertical="center"/>
    </xf>
    <xf numFmtId="0" fontId="2" fillId="0" borderId="4" xfId="1" applyFont="1" applyFill="1" applyBorder="1" applyAlignment="1" applyProtection="1">
      <alignment horizontal="center" vertical="center"/>
    </xf>
    <xf numFmtId="0" fontId="2" fillId="0" borderId="5" xfId="1" applyFont="1" applyFill="1" applyBorder="1" applyAlignment="1" applyProtection="1">
      <alignment horizontal="center" vertical="center"/>
    </xf>
    <xf numFmtId="0" fontId="12" fillId="2" borderId="15" xfId="0" applyFont="1" applyFill="1" applyBorder="1" applyAlignment="1" applyProtection="1">
      <alignment horizontal="center" vertical="center"/>
    </xf>
    <xf numFmtId="0" fontId="12" fillId="2" borderId="16" xfId="0" applyFont="1" applyFill="1" applyBorder="1" applyAlignment="1" applyProtection="1">
      <alignment horizontal="center" vertical="center"/>
    </xf>
    <xf numFmtId="0" fontId="12" fillId="2" borderId="17" xfId="0" applyFont="1" applyFill="1" applyBorder="1" applyAlignment="1" applyProtection="1">
      <alignment horizontal="center" vertical="center"/>
    </xf>
    <xf numFmtId="0" fontId="2" fillId="2" borderId="15" xfId="1" applyFont="1" applyFill="1" applyBorder="1" applyAlignment="1" applyProtection="1">
      <alignment horizontal="left" vertical="center" wrapText="1"/>
      <protection hidden="1"/>
    </xf>
    <xf numFmtId="0" fontId="2" fillId="2" borderId="16" xfId="1" applyFont="1" applyFill="1" applyBorder="1" applyAlignment="1" applyProtection="1">
      <alignment horizontal="left" vertical="center" wrapText="1"/>
      <protection hidden="1"/>
    </xf>
    <xf numFmtId="0" fontId="2" fillId="2" borderId="17" xfId="1" applyFont="1" applyFill="1" applyBorder="1" applyAlignment="1" applyProtection="1">
      <alignment horizontal="left" vertical="center" wrapText="1"/>
      <protection hidden="1"/>
    </xf>
    <xf numFmtId="1" fontId="6" fillId="0" borderId="15" xfId="1" applyNumberFormat="1" applyFont="1" applyBorder="1" applyAlignment="1" applyProtection="1">
      <alignment horizontal="center" vertical="center"/>
      <protection locked="0"/>
    </xf>
    <xf numFmtId="1" fontId="6" fillId="0" borderId="16" xfId="1" applyNumberFormat="1" applyFont="1" applyBorder="1" applyAlignment="1" applyProtection="1">
      <alignment horizontal="center" vertical="center"/>
      <protection locked="0"/>
    </xf>
    <xf numFmtId="1" fontId="6" fillId="0" borderId="17" xfId="1" applyNumberFormat="1" applyFont="1" applyBorder="1" applyAlignment="1" applyProtection="1">
      <alignment horizontal="center" vertical="center"/>
      <protection locked="0"/>
    </xf>
    <xf numFmtId="1" fontId="11" fillId="0" borderId="16" xfId="0" quotePrefix="1" applyNumberFormat="1" applyFont="1" applyFill="1" applyBorder="1" applyAlignment="1" applyProtection="1">
      <alignment horizontal="center" vertical="center"/>
      <protection locked="0"/>
    </xf>
    <xf numFmtId="1" fontId="11" fillId="0" borderId="17" xfId="0" quotePrefix="1" applyNumberFormat="1" applyFont="1" applyFill="1" applyBorder="1" applyAlignment="1" applyProtection="1">
      <alignment horizontal="center" vertical="center"/>
      <protection locked="0"/>
    </xf>
    <xf numFmtId="49" fontId="2" fillId="0" borderId="15" xfId="1" applyNumberFormat="1" applyFont="1" applyFill="1" applyBorder="1" applyAlignment="1" applyProtection="1">
      <alignment horizontal="left" vertical="center"/>
      <protection locked="0"/>
    </xf>
    <xf numFmtId="49" fontId="2" fillId="0" borderId="16" xfId="1" applyNumberFormat="1" applyFont="1" applyFill="1" applyBorder="1" applyAlignment="1" applyProtection="1">
      <alignment horizontal="left" vertical="center"/>
      <protection locked="0"/>
    </xf>
    <xf numFmtId="49" fontId="2" fillId="0" borderId="17" xfId="1" applyNumberFormat="1" applyFont="1" applyFill="1" applyBorder="1" applyAlignment="1" applyProtection="1">
      <alignment horizontal="left" vertical="center"/>
      <protection locked="0"/>
    </xf>
    <xf numFmtId="170" fontId="2" fillId="0" borderId="15" xfId="1" applyNumberFormat="1" applyFont="1" applyFill="1" applyBorder="1" applyAlignment="1" applyProtection="1">
      <alignment horizontal="center" vertical="center"/>
      <protection locked="0"/>
    </xf>
    <xf numFmtId="170" fontId="2" fillId="0" borderId="17" xfId="1" applyNumberFormat="1" applyFont="1" applyFill="1" applyBorder="1" applyAlignment="1" applyProtection="1">
      <alignment horizontal="center" vertical="center"/>
      <protection locked="0"/>
    </xf>
    <xf numFmtId="0" fontId="2" fillId="2" borderId="15" xfId="1" applyFont="1" applyFill="1" applyBorder="1" applyAlignment="1" applyProtection="1">
      <alignment horizontal="center" vertical="center"/>
    </xf>
    <xf numFmtId="0" fontId="2" fillId="2" borderId="16" xfId="1" applyFont="1" applyFill="1" applyBorder="1" applyAlignment="1" applyProtection="1">
      <alignment horizontal="center" vertical="center"/>
    </xf>
    <xf numFmtId="0" fontId="2" fillId="2" borderId="17" xfId="1" applyFont="1" applyFill="1" applyBorder="1" applyAlignment="1" applyProtection="1">
      <alignment horizontal="center" vertical="center"/>
    </xf>
    <xf numFmtId="0" fontId="5" fillId="0" borderId="15" xfId="1" applyFont="1" applyFill="1" applyBorder="1" applyAlignment="1" applyProtection="1">
      <alignment horizontal="center" vertical="center"/>
      <protection locked="0"/>
    </xf>
    <xf numFmtId="0" fontId="5" fillId="0" borderId="17" xfId="1" applyFont="1" applyFill="1" applyBorder="1" applyAlignment="1" applyProtection="1">
      <alignment horizontal="center" vertical="center"/>
      <protection locked="0"/>
    </xf>
    <xf numFmtId="49" fontId="2" fillId="2" borderId="15" xfId="1" applyNumberFormat="1" applyFont="1" applyFill="1" applyBorder="1" applyAlignment="1" applyProtection="1">
      <alignment horizontal="left" vertical="center"/>
    </xf>
    <xf numFmtId="49" fontId="2" fillId="2" borderId="17" xfId="1" applyNumberFormat="1" applyFont="1" applyFill="1" applyBorder="1" applyAlignment="1" applyProtection="1">
      <alignment horizontal="left" vertical="center"/>
    </xf>
    <xf numFmtId="49" fontId="26" fillId="3" borderId="15" xfId="2" applyNumberFormat="1" applyFont="1" applyFill="1" applyBorder="1" applyAlignment="1" applyProtection="1">
      <alignment horizontal="left" vertical="center"/>
      <protection locked="0"/>
    </xf>
    <xf numFmtId="49" fontId="2" fillId="3" borderId="16" xfId="1" applyNumberFormat="1" applyFont="1" applyFill="1" applyBorder="1" applyAlignment="1" applyProtection="1">
      <alignment horizontal="left" vertical="center"/>
      <protection locked="0"/>
    </xf>
    <xf numFmtId="49" fontId="2" fillId="3" borderId="17" xfId="1" applyNumberFormat="1" applyFont="1" applyFill="1" applyBorder="1" applyAlignment="1" applyProtection="1">
      <alignment horizontal="left" vertical="center"/>
      <protection locked="0"/>
    </xf>
    <xf numFmtId="49" fontId="26" fillId="0" borderId="15" xfId="2" applyNumberFormat="1" applyFont="1" applyBorder="1" applyAlignment="1" applyProtection="1">
      <alignment horizontal="left" vertical="center"/>
      <protection locked="0"/>
    </xf>
    <xf numFmtId="49" fontId="2" fillId="0" borderId="16" xfId="1" applyNumberFormat="1" applyFont="1" applyBorder="1" applyAlignment="1" applyProtection="1">
      <alignment horizontal="left" vertical="center"/>
      <protection locked="0"/>
    </xf>
    <xf numFmtId="49" fontId="2" fillId="0" borderId="17" xfId="1" applyNumberFormat="1" applyFont="1" applyBorder="1" applyAlignment="1" applyProtection="1">
      <alignment horizontal="left" vertical="center"/>
      <protection locked="0"/>
    </xf>
    <xf numFmtId="2" fontId="21" fillId="4" borderId="15" xfId="0" applyNumberFormat="1" applyFont="1" applyFill="1" applyBorder="1" applyAlignment="1" applyProtection="1">
      <alignment horizontal="center" vertical="center"/>
      <protection locked="0"/>
    </xf>
    <xf numFmtId="2" fontId="21" fillId="4" borderId="16" xfId="0" applyNumberFormat="1" applyFont="1" applyFill="1" applyBorder="1" applyAlignment="1" applyProtection="1">
      <alignment horizontal="center" vertical="center"/>
      <protection locked="0"/>
    </xf>
    <xf numFmtId="2" fontId="21" fillId="4" borderId="17" xfId="0" applyNumberFormat="1" applyFont="1" applyFill="1" applyBorder="1" applyAlignment="1" applyProtection="1">
      <alignment horizontal="center" vertical="center"/>
      <protection locked="0"/>
    </xf>
    <xf numFmtId="0" fontId="8" fillId="0" borderId="15" xfId="1" applyFont="1" applyFill="1" applyBorder="1" applyAlignment="1" applyProtection="1">
      <alignment horizontal="center" vertical="center"/>
      <protection locked="0"/>
    </xf>
    <xf numFmtId="0" fontId="8" fillId="0" borderId="16" xfId="1" applyFont="1" applyFill="1" applyBorder="1" applyAlignment="1" applyProtection="1">
      <alignment horizontal="center" vertical="center"/>
      <protection locked="0"/>
    </xf>
    <xf numFmtId="0" fontId="8" fillId="0" borderId="17" xfId="1" applyFont="1" applyFill="1" applyBorder="1" applyAlignment="1" applyProtection="1">
      <alignment horizontal="center" vertical="center"/>
      <protection locked="0"/>
    </xf>
    <xf numFmtId="172" fontId="5" fillId="0" borderId="16" xfId="6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</xf>
    <xf numFmtId="0" fontId="13" fillId="2" borderId="16" xfId="0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 applyProtection="1">
      <alignment horizontal="center" vertical="center"/>
    </xf>
    <xf numFmtId="49" fontId="2" fillId="2" borderId="18" xfId="1" applyNumberFormat="1" applyFont="1" applyFill="1" applyBorder="1" applyAlignment="1" applyProtection="1">
      <alignment horizontal="left" vertical="center"/>
    </xf>
    <xf numFmtId="170" fontId="2" fillId="0" borderId="16" xfId="1" applyNumberFormat="1" applyFont="1" applyFill="1" applyBorder="1" applyAlignment="1" applyProtection="1">
      <alignment horizontal="center" vertical="center"/>
      <protection locked="0"/>
    </xf>
    <xf numFmtId="49" fontId="2" fillId="0" borderId="15" xfId="1" applyNumberFormat="1" applyFont="1" applyBorder="1" applyAlignment="1" applyProtection="1">
      <alignment horizontal="left" vertical="center"/>
      <protection locked="0"/>
    </xf>
    <xf numFmtId="49" fontId="2" fillId="3" borderId="18" xfId="1" applyNumberFormat="1" applyFont="1" applyFill="1" applyBorder="1" applyAlignment="1" applyProtection="1">
      <alignment horizontal="left" vertical="center"/>
      <protection locked="0"/>
    </xf>
    <xf numFmtId="172" fontId="21" fillId="0" borderId="15" xfId="6" applyNumberFormat="1" applyFont="1" applyBorder="1" applyAlignment="1" applyProtection="1">
      <alignment horizontal="center" vertical="center"/>
      <protection locked="0"/>
    </xf>
    <xf numFmtId="172" fontId="21" fillId="0" borderId="16" xfId="6" applyNumberFormat="1" applyFont="1" applyBorder="1" applyAlignment="1" applyProtection="1">
      <alignment horizontal="center" vertical="center"/>
      <protection locked="0"/>
    </xf>
    <xf numFmtId="0" fontId="5" fillId="0" borderId="15" xfId="1" applyNumberFormat="1" applyFont="1" applyFill="1" applyBorder="1" applyAlignment="1" applyProtection="1">
      <alignment horizontal="center" vertical="center"/>
      <protection locked="0"/>
    </xf>
    <xf numFmtId="0" fontId="5" fillId="0" borderId="16" xfId="1" applyNumberFormat="1" applyFont="1" applyFill="1" applyBorder="1" applyAlignment="1" applyProtection="1">
      <alignment horizontal="center" vertical="center"/>
      <protection locked="0"/>
    </xf>
    <xf numFmtId="168" fontId="2" fillId="0" borderId="18" xfId="1" applyNumberFormat="1" applyFont="1" applyBorder="1" applyAlignment="1" applyProtection="1">
      <alignment horizontal="center" vertical="center"/>
      <protection locked="0"/>
    </xf>
    <xf numFmtId="0" fontId="2" fillId="2" borderId="18" xfId="1" applyFont="1" applyFill="1" applyBorder="1" applyAlignment="1" applyProtection="1">
      <alignment horizontal="center" vertical="center"/>
    </xf>
    <xf numFmtId="0" fontId="2" fillId="0" borderId="18" xfId="1" applyNumberFormat="1" applyFont="1" applyBorder="1" applyAlignment="1" applyProtection="1">
      <alignment horizontal="center" vertical="center"/>
      <protection locked="0"/>
    </xf>
    <xf numFmtId="173" fontId="21" fillId="4" borderId="15" xfId="6" applyNumberFormat="1" applyFont="1" applyFill="1" applyBorder="1" applyAlignment="1" applyProtection="1">
      <alignment horizontal="center" vertical="center"/>
      <protection hidden="1"/>
    </xf>
    <xf numFmtId="173" fontId="21" fillId="4" borderId="16" xfId="6" applyNumberFormat="1" applyFont="1" applyFill="1" applyBorder="1" applyAlignment="1" applyProtection="1">
      <alignment horizontal="center" vertical="center"/>
      <protection hidden="1"/>
    </xf>
    <xf numFmtId="173" fontId="21" fillId="4" borderId="17" xfId="6" applyNumberFormat="1" applyFont="1" applyFill="1" applyBorder="1" applyAlignment="1" applyProtection="1">
      <alignment horizontal="center" vertical="center"/>
      <protection hidden="1"/>
    </xf>
    <xf numFmtId="0" fontId="21" fillId="0" borderId="1" xfId="0" applyFont="1" applyBorder="1" applyAlignment="1" applyProtection="1">
      <alignment horizontal="left" vertical="center"/>
    </xf>
    <xf numFmtId="14" fontId="5" fillId="0" borderId="15" xfId="1" applyNumberFormat="1" applyFont="1" applyFill="1" applyBorder="1" applyAlignment="1" applyProtection="1">
      <alignment horizontal="center" vertical="center"/>
      <protection locked="0"/>
    </xf>
    <xf numFmtId="14" fontId="5" fillId="0" borderId="16" xfId="1" applyNumberFormat="1" applyFont="1" applyFill="1" applyBorder="1" applyAlignment="1" applyProtection="1">
      <alignment horizontal="center" vertical="center"/>
      <protection locked="0"/>
    </xf>
    <xf numFmtId="14" fontId="5" fillId="0" borderId="17" xfId="1" applyNumberFormat="1" applyFont="1" applyFill="1" applyBorder="1" applyAlignment="1" applyProtection="1">
      <alignment horizontal="center" vertical="center"/>
      <protection locked="0"/>
    </xf>
    <xf numFmtId="0" fontId="11" fillId="0" borderId="15" xfId="0" applyFont="1" applyBorder="1" applyAlignment="1" applyProtection="1">
      <alignment horizontal="center" vertical="center"/>
      <protection hidden="1"/>
    </xf>
    <xf numFmtId="0" fontId="11" fillId="0" borderId="16" xfId="0" applyFont="1" applyBorder="1" applyAlignment="1" applyProtection="1">
      <alignment horizontal="center" vertical="center"/>
      <protection hidden="1"/>
    </xf>
    <xf numFmtId="0" fontId="11" fillId="0" borderId="17" xfId="0" applyFont="1" applyBorder="1" applyAlignment="1" applyProtection="1">
      <alignment horizontal="center" vertical="center"/>
      <protection hidden="1"/>
    </xf>
    <xf numFmtId="49" fontId="13" fillId="0" borderId="15" xfId="0" applyNumberFormat="1" applyFont="1" applyBorder="1" applyAlignment="1" applyProtection="1">
      <alignment horizontal="center" vertical="center"/>
      <protection locked="0"/>
    </xf>
    <xf numFmtId="49" fontId="13" fillId="0" borderId="16" xfId="0" applyNumberFormat="1" applyFont="1" applyBorder="1" applyAlignment="1" applyProtection="1">
      <alignment horizontal="center" vertical="center"/>
      <protection locked="0"/>
    </xf>
    <xf numFmtId="49" fontId="13" fillId="0" borderId="17" xfId="0" applyNumberFormat="1" applyFont="1" applyBorder="1" applyAlignment="1" applyProtection="1">
      <alignment horizontal="center" vertical="center"/>
      <protection locked="0"/>
    </xf>
    <xf numFmtId="49" fontId="2" fillId="0" borderId="18" xfId="1" applyNumberFormat="1" applyFont="1" applyBorder="1" applyAlignment="1" applyProtection="1">
      <alignment horizontal="center" vertical="center"/>
    </xf>
    <xf numFmtId="49" fontId="13" fillId="0" borderId="18" xfId="0" applyNumberFormat="1" applyFont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 wrapText="1"/>
    </xf>
    <xf numFmtId="0" fontId="13" fillId="2" borderId="16" xfId="0" applyFont="1" applyFill="1" applyBorder="1" applyAlignment="1" applyProtection="1">
      <alignment horizontal="center" vertical="center" wrapText="1"/>
    </xf>
    <xf numFmtId="0" fontId="13" fillId="2" borderId="17" xfId="0" applyFont="1" applyFill="1" applyBorder="1" applyAlignment="1" applyProtection="1">
      <alignment horizontal="center" vertical="center" wrapText="1"/>
    </xf>
    <xf numFmtId="0" fontId="31" fillId="0" borderId="15" xfId="0" applyFont="1" applyBorder="1" applyAlignment="1" applyProtection="1">
      <alignment horizontal="center" vertical="center"/>
      <protection locked="0"/>
    </xf>
    <xf numFmtId="0" fontId="31" fillId="0" borderId="16" xfId="0" applyFont="1" applyBorder="1" applyAlignment="1" applyProtection="1">
      <alignment horizontal="center" vertical="center"/>
      <protection locked="0"/>
    </xf>
    <xf numFmtId="0" fontId="31" fillId="0" borderId="17" xfId="0" applyFont="1" applyBorder="1" applyAlignment="1" applyProtection="1">
      <alignment horizontal="center" vertical="center"/>
      <protection locked="0"/>
    </xf>
    <xf numFmtId="0" fontId="31" fillId="0" borderId="15" xfId="0" applyFont="1" applyBorder="1" applyAlignment="1" applyProtection="1">
      <alignment horizontal="center" vertical="center" wrapText="1"/>
      <protection locked="0"/>
    </xf>
    <xf numFmtId="0" fontId="31" fillId="0" borderId="16" xfId="0" applyFont="1" applyBorder="1" applyAlignment="1" applyProtection="1">
      <alignment horizontal="center" vertical="center" wrapText="1"/>
      <protection locked="0"/>
    </xf>
    <xf numFmtId="0" fontId="31" fillId="0" borderId="17" xfId="0" applyFont="1" applyBorder="1" applyAlignment="1" applyProtection="1">
      <alignment horizontal="center" vertical="center" wrapText="1"/>
      <protection locked="0"/>
    </xf>
    <xf numFmtId="0" fontId="31" fillId="0" borderId="41" xfId="0" applyFont="1" applyBorder="1" applyAlignment="1" applyProtection="1">
      <alignment horizontal="center" vertical="center"/>
      <protection locked="0"/>
    </xf>
    <xf numFmtId="0" fontId="12" fillId="0" borderId="46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32" fillId="0" borderId="15" xfId="0" applyFont="1" applyBorder="1" applyAlignment="1" applyProtection="1">
      <alignment horizontal="center" vertical="center"/>
      <protection locked="0"/>
    </xf>
    <xf numFmtId="0" fontId="32" fillId="0" borderId="16" xfId="0" applyFont="1" applyBorder="1" applyAlignment="1" applyProtection="1">
      <alignment horizontal="center" vertical="center"/>
      <protection locked="0"/>
    </xf>
    <xf numFmtId="0" fontId="32" fillId="0" borderId="17" xfId="0" applyFont="1" applyBorder="1" applyAlignment="1" applyProtection="1">
      <alignment horizontal="center" vertical="center"/>
      <protection locked="0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/>
    </xf>
    <xf numFmtId="0" fontId="12" fillId="0" borderId="15" xfId="0" applyFont="1" applyBorder="1" applyAlignment="1">
      <alignment horizontal="left" vertical="center"/>
    </xf>
    <xf numFmtId="0" fontId="32" fillId="0" borderId="41" xfId="0" applyFont="1" applyBorder="1" applyAlignment="1" applyProtection="1">
      <alignment horizontal="center" vertical="center"/>
      <protection locked="0"/>
    </xf>
    <xf numFmtId="0" fontId="13" fillId="9" borderId="44" xfId="0" applyFont="1" applyFill="1" applyBorder="1" applyAlignment="1" applyProtection="1">
      <alignment horizontal="center" vertical="center"/>
    </xf>
    <xf numFmtId="0" fontId="13" fillId="9" borderId="32" xfId="0" applyFont="1" applyFill="1" applyBorder="1" applyAlignment="1" applyProtection="1">
      <alignment horizontal="center" vertical="center"/>
    </xf>
    <xf numFmtId="0" fontId="13" fillId="9" borderId="33" xfId="0" applyFont="1" applyFill="1" applyBorder="1" applyAlignment="1" applyProtection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1" fontId="8" fillId="0" borderId="42" xfId="1" applyNumberFormat="1" applyFont="1" applyBorder="1" applyAlignment="1" applyProtection="1">
      <alignment horizontal="center" vertical="center"/>
    </xf>
    <xf numFmtId="1" fontId="8" fillId="0" borderId="43" xfId="1" applyNumberFormat="1" applyFont="1" applyBorder="1" applyAlignment="1" applyProtection="1">
      <alignment horizontal="center" vertical="center"/>
    </xf>
    <xf numFmtId="0" fontId="2" fillId="0" borderId="44" xfId="1" applyFont="1" applyFill="1" applyBorder="1" applyAlignment="1" applyProtection="1">
      <alignment horizontal="center" vertical="center"/>
      <protection locked="0"/>
    </xf>
    <xf numFmtId="0" fontId="2" fillId="0" borderId="32" xfId="1" applyFont="1" applyFill="1" applyBorder="1" applyAlignment="1" applyProtection="1">
      <alignment horizontal="center" vertical="center"/>
      <protection locked="0"/>
    </xf>
    <xf numFmtId="0" fontId="2" fillId="0" borderId="33" xfId="1" applyFont="1" applyFill="1" applyBorder="1" applyAlignment="1" applyProtection="1">
      <alignment horizontal="center" vertical="center"/>
      <protection locked="0"/>
    </xf>
    <xf numFmtId="0" fontId="12" fillId="0" borderId="3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0" fillId="7" borderId="28" xfId="0" applyFill="1" applyBorder="1"/>
    <xf numFmtId="0" fontId="18" fillId="7" borderId="25" xfId="0" applyFont="1" applyFill="1" applyBorder="1" applyAlignment="1">
      <alignment horizontal="center" vertical="center" wrapText="1"/>
    </xf>
    <xf numFmtId="0" fontId="18" fillId="7" borderId="26" xfId="0" applyFont="1" applyFill="1" applyBorder="1" applyAlignment="1">
      <alignment horizontal="center" vertical="center" wrapText="1"/>
    </xf>
    <xf numFmtId="0" fontId="18" fillId="7" borderId="27" xfId="0" applyFont="1" applyFill="1" applyBorder="1" applyAlignment="1">
      <alignment horizontal="center" vertical="center" wrapText="1"/>
    </xf>
  </cellXfs>
  <cellStyles count="7">
    <cellStyle name="Hiperlink" xfId="2" builtinId="8"/>
    <cellStyle name="Hiperlink 2" xfId="4"/>
    <cellStyle name="Normal" xfId="0" builtinId="0"/>
    <cellStyle name="Normal 2" xfId="5"/>
    <cellStyle name="Normal 3" xfId="1"/>
    <cellStyle name="Normal 4" xfId="3"/>
    <cellStyle name="Vírgula" xfId="6" builtinId="3"/>
  </cellStyles>
  <dxfs count="64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54428</xdr:colOff>
      <xdr:row>2</xdr:row>
      <xdr:rowOff>190502</xdr:rowOff>
    </xdr:from>
    <xdr:to>
      <xdr:col>5</xdr:col>
      <xdr:colOff>65562</xdr:colOff>
      <xdr:row>4</xdr:row>
      <xdr:rowOff>244932</xdr:rowOff>
    </xdr:to>
    <xdr:pic>
      <xdr:nvPicPr>
        <xdr:cNvPr id="3" name="Imagem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178" y="449038"/>
          <a:ext cx="1823358" cy="6667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1</xdr:row>
      <xdr:rowOff>38100</xdr:rowOff>
    </xdr:from>
    <xdr:to>
      <xdr:col>2</xdr:col>
      <xdr:colOff>609600</xdr:colOff>
      <xdr:row>1</xdr:row>
      <xdr:rowOff>390525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6" y="114300"/>
          <a:ext cx="1057274" cy="352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66675</xdr:rowOff>
    </xdr:from>
    <xdr:to>
      <xdr:col>2</xdr:col>
      <xdr:colOff>495299</xdr:colOff>
      <xdr:row>1</xdr:row>
      <xdr:rowOff>419100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57175"/>
          <a:ext cx="1057274" cy="3524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1400174</xdr:colOff>
      <xdr:row>0</xdr:row>
      <xdr:rowOff>410894</xdr:rowOff>
    </xdr:from>
    <xdr:to>
      <xdr:col>5</xdr:col>
      <xdr:colOff>209549</xdr:colOff>
      <xdr:row>2</xdr:row>
      <xdr:rowOff>106094</xdr:rowOff>
    </xdr:to>
    <xdr:sp macro="" textlink="">
      <xdr:nvSpPr>
        <xdr:cNvPr id="2" name="Seta em curva para baixo 1"/>
        <xdr:cNvSpPr/>
      </xdr:nvSpPr>
      <xdr:spPr>
        <a:xfrm rot="1428188" flipH="1">
          <a:off x="4076699" y="410894"/>
          <a:ext cx="2190750" cy="733425"/>
        </a:xfrm>
        <a:prstGeom prst="curvedDownArrow">
          <a:avLst>
            <a:gd name="adj1" fmla="val 30114"/>
            <a:gd name="adj2" fmla="val 50000"/>
            <a:gd name="adj3" fmla="val 25000"/>
          </a:avLst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661"/>
  <sheetViews>
    <sheetView showGridLines="0" workbookViewId="0">
      <selection activeCell="E29" sqref="E29"/>
    </sheetView>
  </sheetViews>
  <sheetFormatPr defaultColWidth="9.140625" defaultRowHeight="15"/>
  <cols>
    <col min="1" max="1" width="1.7109375" style="26" customWidth="1"/>
    <col min="2" max="2" width="3.28515625" style="120" bestFit="1" customWidth="1"/>
    <col min="3" max="3" width="5" style="26" customWidth="1"/>
    <col min="4" max="4" width="20.28515625" style="26" customWidth="1"/>
    <col min="5" max="5" width="11.42578125" style="26" customWidth="1"/>
    <col min="6" max="6" width="21.85546875" style="26" customWidth="1"/>
    <col min="7" max="7" width="18" style="26" bestFit="1" customWidth="1"/>
    <col min="8" max="8" width="22.85546875" style="26" bestFit="1" customWidth="1"/>
    <col min="9" max="11" width="9.140625" style="26"/>
    <col min="12" max="12" width="10.5703125" style="26" customWidth="1"/>
    <col min="13" max="13" width="1.7109375" style="26" customWidth="1"/>
    <col min="14" max="16384" width="9.140625" style="26"/>
  </cols>
  <sheetData>
    <row r="1" spans="2:37" ht="9.9499999999999993" customHeight="1" thickBot="1"/>
    <row r="2" spans="2:37" ht="15.75" thickBot="1">
      <c r="B2" s="159" t="s">
        <v>284</v>
      </c>
      <c r="C2" s="160"/>
      <c r="D2" s="160"/>
      <c r="E2" s="160"/>
      <c r="F2" s="160"/>
      <c r="G2" s="160"/>
      <c r="H2" s="160"/>
      <c r="I2" s="160"/>
      <c r="J2" s="160"/>
      <c r="K2" s="160"/>
      <c r="L2" s="16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</row>
    <row r="3" spans="2:37" ht="9.9499999999999993" customHeight="1">
      <c r="B3" s="122"/>
      <c r="C3" s="123"/>
      <c r="D3" s="123"/>
      <c r="E3" s="123"/>
      <c r="F3" s="123"/>
      <c r="G3" s="123"/>
      <c r="H3" s="123"/>
      <c r="I3" s="123"/>
      <c r="J3" s="123"/>
      <c r="K3" s="123"/>
      <c r="L3" s="124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</row>
    <row r="4" spans="2:37">
      <c r="B4" s="125" t="s">
        <v>285</v>
      </c>
      <c r="C4" s="126" t="s">
        <v>286</v>
      </c>
      <c r="D4" s="126"/>
      <c r="E4" s="126"/>
      <c r="F4" s="126"/>
      <c r="G4" s="126"/>
      <c r="H4" s="126"/>
      <c r="I4" s="126"/>
      <c r="J4" s="126"/>
      <c r="K4" s="126"/>
      <c r="L4" s="127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</row>
    <row r="5" spans="2:37">
      <c r="B5" s="125"/>
      <c r="C5" s="128" t="s">
        <v>287</v>
      </c>
      <c r="D5" s="126"/>
      <c r="E5" s="126"/>
      <c r="F5" s="126"/>
      <c r="G5" s="126"/>
      <c r="H5" s="126"/>
      <c r="I5" s="126"/>
      <c r="J5" s="126"/>
      <c r="K5" s="126"/>
      <c r="L5" s="127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</row>
    <row r="6" spans="2:37">
      <c r="B6" s="125"/>
      <c r="C6" s="129" t="s">
        <v>288</v>
      </c>
      <c r="D6" s="126"/>
      <c r="E6" s="126"/>
      <c r="F6" s="126"/>
      <c r="G6" s="126"/>
      <c r="H6" s="126"/>
      <c r="I6" s="126"/>
      <c r="J6" s="126"/>
      <c r="K6" s="126"/>
      <c r="L6" s="127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</row>
    <row r="7" spans="2:37">
      <c r="B7" s="125"/>
      <c r="C7" s="129" t="s">
        <v>289</v>
      </c>
      <c r="D7" s="126"/>
      <c r="E7" s="126"/>
      <c r="F7" s="126"/>
      <c r="G7" s="126"/>
      <c r="H7" s="126"/>
      <c r="I7" s="126"/>
      <c r="J7" s="126"/>
      <c r="K7" s="126"/>
      <c r="L7" s="127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</row>
    <row r="8" spans="2:37">
      <c r="B8" s="125"/>
      <c r="C8" s="129" t="s">
        <v>290</v>
      </c>
      <c r="D8" s="126"/>
      <c r="E8" s="126"/>
      <c r="F8" s="126"/>
      <c r="G8" s="126"/>
      <c r="H8" s="126"/>
      <c r="I8" s="126"/>
      <c r="J8" s="126"/>
      <c r="K8" s="126"/>
      <c r="L8" s="127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</row>
    <row r="9" spans="2:37">
      <c r="B9" s="125"/>
      <c r="C9" s="129" t="s">
        <v>291</v>
      </c>
      <c r="D9" s="126"/>
      <c r="E9" s="126"/>
      <c r="F9" s="126"/>
      <c r="G9" s="126"/>
      <c r="H9" s="126"/>
      <c r="I9" s="126"/>
      <c r="J9" s="126"/>
      <c r="K9" s="126"/>
      <c r="L9" s="127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</row>
    <row r="10" spans="2:37">
      <c r="B10" s="125"/>
      <c r="C10" s="128" t="s">
        <v>292</v>
      </c>
      <c r="D10" s="126"/>
      <c r="E10" s="126"/>
      <c r="F10" s="126"/>
      <c r="G10" s="126"/>
      <c r="H10" s="126"/>
      <c r="I10" s="126"/>
      <c r="J10" s="126"/>
      <c r="K10" s="126"/>
      <c r="L10" s="127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</row>
    <row r="11" spans="2:37">
      <c r="B11" s="125"/>
      <c r="C11" s="129" t="s">
        <v>290</v>
      </c>
      <c r="D11" s="126"/>
      <c r="E11" s="126"/>
      <c r="F11" s="126"/>
      <c r="G11" s="126"/>
      <c r="H11" s="126"/>
      <c r="I11" s="126"/>
      <c r="J11" s="126"/>
      <c r="K11" s="126"/>
      <c r="L11" s="127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</row>
    <row r="12" spans="2:37">
      <c r="B12" s="125"/>
      <c r="C12" s="129" t="s">
        <v>291</v>
      </c>
      <c r="D12" s="126"/>
      <c r="E12" s="126"/>
      <c r="F12" s="126"/>
      <c r="G12" s="126"/>
      <c r="H12" s="126"/>
      <c r="I12" s="126"/>
      <c r="J12" s="126"/>
      <c r="K12" s="126"/>
      <c r="L12" s="127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</row>
    <row r="13" spans="2:37">
      <c r="B13" s="125"/>
      <c r="C13" s="129" t="s">
        <v>293</v>
      </c>
      <c r="D13" s="126"/>
      <c r="E13" s="126"/>
      <c r="F13" s="126"/>
      <c r="G13" s="126"/>
      <c r="H13" s="126"/>
      <c r="I13" s="126"/>
      <c r="J13" s="126"/>
      <c r="K13" s="126"/>
      <c r="L13" s="127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</row>
    <row r="14" spans="2:37">
      <c r="B14" s="125"/>
      <c r="C14" s="129" t="s">
        <v>294</v>
      </c>
      <c r="D14" s="126"/>
      <c r="E14" s="126"/>
      <c r="F14" s="126"/>
      <c r="G14" s="126"/>
      <c r="H14" s="126"/>
      <c r="I14" s="126"/>
      <c r="J14" s="126"/>
      <c r="K14" s="126"/>
      <c r="L14" s="127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</row>
    <row r="15" spans="2:37">
      <c r="B15" s="125"/>
      <c r="C15" s="128" t="s">
        <v>295</v>
      </c>
      <c r="D15" s="126"/>
      <c r="E15" s="126"/>
      <c r="F15" s="126"/>
      <c r="G15" s="126"/>
      <c r="H15" s="126"/>
      <c r="I15" s="126"/>
      <c r="J15" s="126"/>
      <c r="K15" s="126"/>
      <c r="L15" s="127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</row>
    <row r="16" spans="2:37">
      <c r="B16" s="125"/>
      <c r="C16" s="129" t="s">
        <v>296</v>
      </c>
      <c r="D16" s="126"/>
      <c r="E16" s="126"/>
      <c r="F16" s="126"/>
      <c r="G16" s="126"/>
      <c r="H16" s="126"/>
      <c r="I16" s="126"/>
      <c r="J16" s="126"/>
      <c r="K16" s="126"/>
      <c r="L16" s="127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</row>
    <row r="17" spans="2:37">
      <c r="B17" s="125"/>
      <c r="C17" s="128" t="s">
        <v>297</v>
      </c>
      <c r="D17" s="126"/>
      <c r="E17" s="126"/>
      <c r="F17" s="126"/>
      <c r="G17" s="126"/>
      <c r="H17" s="126"/>
      <c r="I17" s="126"/>
      <c r="J17" s="126"/>
      <c r="K17" s="126"/>
      <c r="L17" s="127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</row>
    <row r="18" spans="2:37">
      <c r="B18" s="125"/>
      <c r="C18" s="129" t="s">
        <v>298</v>
      </c>
      <c r="D18" s="126"/>
      <c r="E18" s="126"/>
      <c r="F18" s="126"/>
      <c r="G18" s="126"/>
      <c r="H18" s="126"/>
      <c r="I18" s="126"/>
      <c r="J18" s="126"/>
      <c r="K18" s="126"/>
      <c r="L18" s="127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</row>
    <row r="19" spans="2:37">
      <c r="B19" s="125" t="s">
        <v>299</v>
      </c>
      <c r="C19" s="126" t="s">
        <v>300</v>
      </c>
      <c r="D19" s="126"/>
      <c r="E19" s="126"/>
      <c r="F19" s="126"/>
      <c r="G19" s="126"/>
      <c r="H19" s="126"/>
      <c r="I19" s="126"/>
      <c r="J19" s="126"/>
      <c r="K19" s="126"/>
      <c r="L19" s="127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</row>
    <row r="20" spans="2:37">
      <c r="B20" s="125"/>
      <c r="C20" s="126" t="s">
        <v>301</v>
      </c>
      <c r="D20" s="126"/>
      <c r="E20" s="126"/>
      <c r="F20" s="126"/>
      <c r="G20" s="126"/>
      <c r="H20" s="126"/>
      <c r="I20" s="126"/>
      <c r="J20" s="126"/>
      <c r="K20" s="126"/>
      <c r="L20" s="127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</row>
    <row r="21" spans="2:37">
      <c r="B21" s="125"/>
      <c r="C21" s="126" t="s">
        <v>309</v>
      </c>
      <c r="D21" s="126"/>
      <c r="E21" s="126"/>
      <c r="F21" s="126"/>
      <c r="G21" s="126"/>
      <c r="H21" s="126"/>
      <c r="I21" s="126"/>
      <c r="J21" s="126"/>
      <c r="K21" s="126"/>
      <c r="L21" s="127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</row>
    <row r="22" spans="2:37">
      <c r="B22" s="125"/>
      <c r="C22" s="126" t="s">
        <v>310</v>
      </c>
      <c r="D22" s="126"/>
      <c r="E22" s="126"/>
      <c r="F22" s="126"/>
      <c r="G22" s="126"/>
      <c r="H22" s="126"/>
      <c r="I22" s="126"/>
      <c r="J22" s="126"/>
      <c r="K22" s="126"/>
      <c r="L22" s="127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</row>
    <row r="23" spans="2:37">
      <c r="B23" s="125"/>
      <c r="C23" s="126" t="s">
        <v>311</v>
      </c>
      <c r="D23" s="126"/>
      <c r="E23" s="126"/>
      <c r="F23" s="126"/>
      <c r="G23" s="126"/>
      <c r="H23" s="126"/>
      <c r="I23" s="126"/>
      <c r="J23" s="126"/>
      <c r="K23" s="126"/>
      <c r="L23" s="127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</row>
    <row r="24" spans="2:37">
      <c r="B24" s="125"/>
      <c r="C24" s="126" t="s">
        <v>312</v>
      </c>
      <c r="D24" s="126"/>
      <c r="E24" s="126"/>
      <c r="F24" s="126"/>
      <c r="G24" s="126"/>
      <c r="H24" s="126"/>
      <c r="I24" s="126"/>
      <c r="J24" s="126"/>
      <c r="K24" s="126"/>
      <c r="L24" s="127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</row>
    <row r="25" spans="2:37">
      <c r="B25" s="125"/>
      <c r="C25" s="129" t="s">
        <v>302</v>
      </c>
      <c r="D25" s="126"/>
      <c r="E25" s="126"/>
      <c r="F25" s="126"/>
      <c r="G25" s="126"/>
      <c r="H25" s="126"/>
      <c r="I25" s="126"/>
      <c r="J25" s="126"/>
      <c r="K25" s="126"/>
      <c r="L25" s="127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</row>
    <row r="26" spans="2:37">
      <c r="B26" s="125"/>
      <c r="C26" s="129" t="s">
        <v>303</v>
      </c>
      <c r="D26" s="126"/>
      <c r="E26" s="126"/>
      <c r="F26" s="126"/>
      <c r="G26" s="126"/>
      <c r="H26" s="126"/>
      <c r="I26" s="126"/>
      <c r="J26" s="126"/>
      <c r="K26" s="126"/>
      <c r="L26" s="127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</row>
    <row r="27" spans="2:37">
      <c r="B27" s="125"/>
      <c r="C27" s="129" t="s">
        <v>304</v>
      </c>
      <c r="D27" s="126"/>
      <c r="E27" s="126"/>
      <c r="F27" s="126"/>
      <c r="G27" s="126"/>
      <c r="H27" s="126"/>
      <c r="I27" s="126"/>
      <c r="J27" s="126"/>
      <c r="K27" s="126"/>
      <c r="L27" s="127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</row>
    <row r="28" spans="2:37">
      <c r="B28" s="125"/>
      <c r="C28" s="129" t="s">
        <v>305</v>
      </c>
      <c r="D28" s="126"/>
      <c r="E28" s="126"/>
      <c r="F28" s="126"/>
      <c r="G28" s="126"/>
      <c r="H28" s="126"/>
      <c r="I28" s="126"/>
      <c r="J28" s="126"/>
      <c r="K28" s="126"/>
      <c r="L28" s="127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</row>
    <row r="29" spans="2:37">
      <c r="B29" s="125" t="s">
        <v>306</v>
      </c>
      <c r="C29" s="126" t="s">
        <v>307</v>
      </c>
      <c r="D29" s="126"/>
      <c r="E29" s="126"/>
      <c r="F29" s="126"/>
      <c r="G29" s="126"/>
      <c r="H29" s="126"/>
      <c r="I29" s="126"/>
      <c r="J29" s="126"/>
      <c r="K29" s="126"/>
      <c r="L29" s="127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</row>
    <row r="30" spans="2:37">
      <c r="B30" s="125" t="s">
        <v>313</v>
      </c>
      <c r="C30" s="126" t="s">
        <v>314</v>
      </c>
      <c r="D30" s="126"/>
      <c r="E30" s="126"/>
      <c r="F30" s="126"/>
      <c r="G30" s="126"/>
      <c r="H30" s="126"/>
      <c r="I30" s="126"/>
      <c r="J30" s="126"/>
      <c r="K30" s="126"/>
      <c r="L30" s="127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</row>
    <row r="31" spans="2:37">
      <c r="B31" s="125"/>
      <c r="C31" s="129"/>
      <c r="D31" s="126"/>
      <c r="E31" s="126"/>
      <c r="F31" s="126"/>
      <c r="G31" s="126"/>
      <c r="H31" s="126"/>
      <c r="I31" s="126"/>
      <c r="J31" s="126"/>
      <c r="K31" s="126"/>
      <c r="L31" s="127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</row>
    <row r="32" spans="2:37" ht="15.75" thickBot="1">
      <c r="B32" s="130" t="s">
        <v>308</v>
      </c>
      <c r="C32" s="131"/>
      <c r="D32" s="132"/>
      <c r="E32" s="132"/>
      <c r="F32" s="132"/>
      <c r="G32" s="132"/>
      <c r="H32" s="132"/>
      <c r="I32" s="132"/>
      <c r="J32" s="132"/>
      <c r="K32" s="132"/>
      <c r="L32" s="133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</row>
    <row r="33" spans="2:37" ht="9.9499999999999993" customHeight="1">
      <c r="B33" s="134"/>
      <c r="C33" s="57"/>
      <c r="D33" s="57"/>
      <c r="E33" s="57"/>
      <c r="F33" s="57"/>
      <c r="G33" s="57"/>
      <c r="H33" s="57"/>
      <c r="I33" s="57"/>
      <c r="J33" s="57"/>
      <c r="K33" s="57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</row>
    <row r="34" spans="2:37">
      <c r="B34" s="134"/>
      <c r="C34" s="57"/>
      <c r="D34" s="57"/>
      <c r="E34" s="57"/>
      <c r="F34" s="57"/>
      <c r="G34" s="57"/>
      <c r="H34" s="57"/>
      <c r="I34" s="57"/>
      <c r="J34" s="57"/>
      <c r="K34" s="57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</row>
    <row r="35" spans="2:37">
      <c r="B35" s="134"/>
      <c r="C35" s="57"/>
      <c r="D35" s="57"/>
      <c r="E35" s="57"/>
      <c r="F35" s="57"/>
      <c r="G35" s="57"/>
      <c r="H35" s="57"/>
      <c r="I35" s="57"/>
      <c r="J35" s="57"/>
      <c r="K35" s="57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</row>
    <row r="36" spans="2:37">
      <c r="B36" s="134"/>
      <c r="C36" s="57"/>
      <c r="D36" s="57"/>
      <c r="E36" s="57"/>
      <c r="F36" s="57"/>
      <c r="G36" s="57"/>
      <c r="H36" s="57"/>
      <c r="I36" s="57"/>
      <c r="J36" s="57"/>
      <c r="K36" s="57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</row>
    <row r="37" spans="2:37">
      <c r="B37" s="134"/>
      <c r="C37" s="57"/>
      <c r="D37" s="57"/>
      <c r="E37" s="57"/>
      <c r="F37" s="57"/>
      <c r="G37" s="57"/>
      <c r="H37" s="57"/>
      <c r="I37" s="57"/>
      <c r="J37" s="57"/>
      <c r="K37" s="57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</row>
    <row r="38" spans="2:37">
      <c r="B38" s="134"/>
      <c r="C38" s="57"/>
      <c r="D38" s="57"/>
      <c r="E38" s="57"/>
      <c r="F38" s="57"/>
      <c r="G38" s="57"/>
      <c r="H38" s="57"/>
      <c r="I38" s="57"/>
      <c r="J38" s="57"/>
      <c r="K38" s="57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</row>
    <row r="39" spans="2:37">
      <c r="B39" s="134"/>
      <c r="C39" s="57"/>
      <c r="D39" s="57"/>
      <c r="E39" s="57"/>
      <c r="F39" s="57"/>
      <c r="G39" s="57"/>
      <c r="H39" s="57"/>
      <c r="I39" s="57"/>
      <c r="J39" s="57"/>
      <c r="K39" s="57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</row>
    <row r="40" spans="2:37">
      <c r="B40" s="134"/>
      <c r="C40" s="57"/>
      <c r="D40" s="57"/>
      <c r="E40" s="57"/>
      <c r="F40" s="57"/>
      <c r="G40" s="57"/>
      <c r="H40" s="57"/>
      <c r="I40" s="57"/>
      <c r="J40" s="57"/>
      <c r="K40" s="57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</row>
    <row r="41" spans="2:37">
      <c r="B41" s="134"/>
      <c r="C41" s="57"/>
      <c r="D41" s="57"/>
      <c r="E41" s="57"/>
      <c r="F41" s="57"/>
      <c r="G41" s="57"/>
      <c r="H41" s="57"/>
      <c r="I41" s="57"/>
      <c r="J41" s="57"/>
      <c r="K41" s="57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</row>
    <row r="42" spans="2:37">
      <c r="B42" s="134"/>
      <c r="C42" s="57"/>
      <c r="D42" s="57"/>
      <c r="E42" s="57"/>
      <c r="F42" s="57"/>
      <c r="G42" s="57"/>
      <c r="H42" s="57"/>
      <c r="I42" s="57"/>
      <c r="J42" s="57"/>
      <c r="K42" s="57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</row>
    <row r="43" spans="2:37">
      <c r="B43" s="134"/>
      <c r="C43" s="57"/>
      <c r="D43" s="57"/>
      <c r="E43" s="57"/>
      <c r="F43" s="57"/>
      <c r="G43" s="57"/>
      <c r="H43" s="57"/>
      <c r="I43" s="57"/>
      <c r="J43" s="57"/>
      <c r="K43" s="57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</row>
    <row r="44" spans="2:37">
      <c r="B44" s="134"/>
      <c r="C44" s="57"/>
      <c r="D44" s="57"/>
      <c r="E44" s="57"/>
      <c r="F44" s="57"/>
      <c r="G44" s="57"/>
      <c r="H44" s="57"/>
      <c r="I44" s="57"/>
      <c r="J44" s="57"/>
      <c r="K44" s="57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</row>
    <row r="45" spans="2:37">
      <c r="B45" s="134"/>
      <c r="C45" s="57"/>
      <c r="D45" s="57"/>
      <c r="E45" s="57"/>
      <c r="F45" s="57"/>
      <c r="G45" s="57"/>
      <c r="H45" s="57"/>
      <c r="I45" s="57"/>
      <c r="J45" s="57"/>
      <c r="K45" s="57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</row>
    <row r="46" spans="2:37">
      <c r="B46" s="134"/>
      <c r="C46" s="57"/>
      <c r="D46" s="57"/>
      <c r="E46" s="57"/>
      <c r="F46" s="57"/>
      <c r="G46" s="57"/>
      <c r="H46" s="57"/>
      <c r="I46" s="57"/>
      <c r="J46" s="57"/>
      <c r="K46" s="57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</row>
    <row r="47" spans="2:37">
      <c r="B47" s="134"/>
      <c r="C47" s="57"/>
      <c r="D47" s="57"/>
      <c r="E47" s="57"/>
      <c r="F47" s="57"/>
      <c r="G47" s="57"/>
      <c r="H47" s="57"/>
      <c r="I47" s="57"/>
      <c r="J47" s="57"/>
      <c r="K47" s="57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</row>
    <row r="48" spans="2:37">
      <c r="B48" s="134"/>
      <c r="C48" s="57"/>
      <c r="D48" s="57"/>
      <c r="E48" s="57"/>
      <c r="F48" s="57"/>
      <c r="G48" s="57"/>
      <c r="H48" s="57"/>
      <c r="I48" s="57"/>
      <c r="J48" s="57"/>
      <c r="K48" s="57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</row>
    <row r="49" spans="2:37">
      <c r="B49" s="134"/>
      <c r="C49" s="57"/>
      <c r="D49" s="57"/>
      <c r="E49" s="57"/>
      <c r="F49" s="57"/>
      <c r="G49" s="57"/>
      <c r="H49" s="57"/>
      <c r="I49" s="57"/>
      <c r="J49" s="57"/>
      <c r="K49" s="57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</row>
    <row r="50" spans="2:37">
      <c r="B50" s="134"/>
      <c r="C50" s="57"/>
      <c r="D50" s="57"/>
      <c r="E50" s="57"/>
      <c r="F50" s="57"/>
      <c r="G50" s="57"/>
      <c r="H50" s="57"/>
      <c r="I50" s="57"/>
      <c r="J50" s="57"/>
      <c r="K50" s="57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</row>
    <row r="51" spans="2:37">
      <c r="B51" s="134"/>
      <c r="C51" s="57"/>
      <c r="D51" s="57"/>
      <c r="E51" s="57"/>
      <c r="F51" s="57"/>
      <c r="G51" s="57"/>
      <c r="H51" s="57"/>
      <c r="I51" s="57"/>
      <c r="J51" s="57"/>
      <c r="K51" s="57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</row>
    <row r="52" spans="2:37">
      <c r="B52" s="134"/>
      <c r="C52" s="57"/>
      <c r="D52" s="57"/>
      <c r="E52" s="57"/>
      <c r="F52" s="57"/>
      <c r="G52" s="57"/>
      <c r="H52" s="57"/>
      <c r="I52" s="57"/>
      <c r="J52" s="57"/>
      <c r="K52" s="57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</row>
    <row r="53" spans="2:37">
      <c r="B53" s="134"/>
      <c r="C53" s="57"/>
      <c r="D53" s="57"/>
      <c r="E53" s="57"/>
      <c r="F53" s="57"/>
      <c r="G53" s="57"/>
      <c r="H53" s="57"/>
      <c r="I53" s="57"/>
      <c r="J53" s="57"/>
      <c r="K53" s="57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</row>
    <row r="54" spans="2:37">
      <c r="B54" s="134"/>
      <c r="C54" s="57"/>
      <c r="D54" s="57"/>
      <c r="E54" s="57"/>
      <c r="F54" s="57"/>
      <c r="G54" s="57"/>
      <c r="H54" s="57"/>
      <c r="I54" s="57"/>
      <c r="J54" s="57"/>
      <c r="K54" s="57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</row>
    <row r="55" spans="2:37">
      <c r="B55" s="134"/>
      <c r="C55" s="57"/>
      <c r="D55" s="57"/>
      <c r="E55" s="57"/>
      <c r="F55" s="57"/>
      <c r="G55" s="57"/>
      <c r="H55" s="57"/>
      <c r="I55" s="57"/>
      <c r="J55" s="57"/>
      <c r="K55" s="57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</row>
    <row r="56" spans="2:37">
      <c r="B56" s="134"/>
      <c r="C56" s="57"/>
      <c r="D56" s="57"/>
      <c r="E56" s="57"/>
      <c r="F56" s="57"/>
      <c r="G56" s="57"/>
      <c r="H56" s="57"/>
      <c r="I56" s="57"/>
      <c r="J56" s="57"/>
      <c r="K56" s="57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</row>
    <row r="57" spans="2:37">
      <c r="B57" s="134"/>
      <c r="C57" s="57"/>
      <c r="D57" s="57"/>
      <c r="E57" s="57"/>
      <c r="F57" s="57"/>
      <c r="G57" s="57"/>
      <c r="H57" s="57"/>
      <c r="I57" s="57"/>
      <c r="J57" s="57"/>
      <c r="K57" s="57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</row>
    <row r="58" spans="2:37">
      <c r="B58" s="134"/>
      <c r="C58" s="57"/>
      <c r="D58" s="57"/>
      <c r="E58" s="57"/>
      <c r="F58" s="57"/>
      <c r="G58" s="57"/>
      <c r="H58" s="57"/>
      <c r="I58" s="57"/>
      <c r="J58" s="57"/>
      <c r="K58" s="57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</row>
    <row r="59" spans="2:37">
      <c r="B59" s="134"/>
      <c r="C59" s="57"/>
      <c r="D59" s="57"/>
      <c r="E59" s="57"/>
      <c r="F59" s="57"/>
      <c r="G59" s="57"/>
      <c r="H59" s="57"/>
      <c r="I59" s="57"/>
      <c r="J59" s="57"/>
      <c r="K59" s="57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</row>
    <row r="60" spans="2:37">
      <c r="B60" s="134"/>
      <c r="C60" s="57"/>
      <c r="D60" s="57"/>
      <c r="E60" s="57"/>
      <c r="F60" s="57"/>
      <c r="G60" s="57"/>
      <c r="H60" s="57"/>
      <c r="I60" s="57"/>
      <c r="J60" s="57"/>
      <c r="K60" s="57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</row>
    <row r="61" spans="2:37">
      <c r="B61" s="134"/>
      <c r="C61" s="57"/>
      <c r="D61" s="57"/>
      <c r="E61" s="57"/>
      <c r="F61" s="57"/>
      <c r="G61" s="57"/>
      <c r="H61" s="57"/>
      <c r="I61" s="57"/>
      <c r="J61" s="57"/>
      <c r="K61" s="57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</row>
    <row r="62" spans="2:37">
      <c r="B62" s="134"/>
      <c r="C62" s="57"/>
      <c r="D62" s="57"/>
      <c r="E62" s="57"/>
      <c r="F62" s="57"/>
      <c r="G62" s="57"/>
      <c r="H62" s="57"/>
      <c r="I62" s="57"/>
      <c r="J62" s="57"/>
      <c r="K62" s="57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</row>
    <row r="63" spans="2:37">
      <c r="B63" s="134"/>
      <c r="C63" s="57"/>
      <c r="D63" s="57"/>
      <c r="E63" s="57"/>
      <c r="F63" s="57"/>
      <c r="G63" s="57"/>
      <c r="H63" s="57"/>
      <c r="I63" s="57"/>
      <c r="J63" s="57"/>
      <c r="K63" s="57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</row>
    <row r="64" spans="2:37">
      <c r="B64" s="134"/>
      <c r="C64" s="57"/>
      <c r="D64" s="57"/>
      <c r="E64" s="57"/>
      <c r="F64" s="57"/>
      <c r="G64" s="57"/>
      <c r="H64" s="57"/>
      <c r="I64" s="57"/>
      <c r="J64" s="57"/>
      <c r="K64" s="57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</row>
    <row r="65" spans="2:37">
      <c r="B65" s="134"/>
      <c r="C65" s="57"/>
      <c r="D65" s="57"/>
      <c r="E65" s="57"/>
      <c r="F65" s="57"/>
      <c r="G65" s="57"/>
      <c r="H65" s="57"/>
      <c r="I65" s="57"/>
      <c r="J65" s="57"/>
      <c r="K65" s="57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</row>
    <row r="66" spans="2:37">
      <c r="B66" s="134"/>
      <c r="C66" s="57"/>
      <c r="D66" s="57"/>
      <c r="E66" s="57"/>
      <c r="F66" s="57"/>
      <c r="G66" s="57"/>
      <c r="H66" s="57"/>
      <c r="I66" s="57"/>
      <c r="J66" s="57"/>
      <c r="K66" s="57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</row>
    <row r="67" spans="2:37">
      <c r="B67" s="134"/>
      <c r="C67" s="57"/>
      <c r="D67" s="57"/>
      <c r="E67" s="57"/>
      <c r="F67" s="57"/>
      <c r="G67" s="57"/>
      <c r="H67" s="57"/>
      <c r="I67" s="57"/>
      <c r="J67" s="57"/>
      <c r="K67" s="57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</row>
    <row r="68" spans="2:37">
      <c r="B68" s="134"/>
      <c r="C68" s="57"/>
      <c r="D68" s="57"/>
      <c r="E68" s="57"/>
      <c r="F68" s="57"/>
      <c r="G68" s="57"/>
      <c r="H68" s="57"/>
      <c r="I68" s="57"/>
      <c r="J68" s="57"/>
      <c r="K68" s="57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</row>
    <row r="69" spans="2:37">
      <c r="B69" s="134"/>
      <c r="C69" s="57"/>
      <c r="D69" s="57"/>
      <c r="E69" s="57"/>
      <c r="F69" s="57"/>
      <c r="G69" s="57"/>
      <c r="H69" s="57"/>
      <c r="I69" s="57"/>
      <c r="J69" s="57"/>
      <c r="K69" s="57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</row>
    <row r="70" spans="2:37">
      <c r="B70" s="134"/>
      <c r="C70" s="57"/>
      <c r="D70" s="57"/>
      <c r="E70" s="57"/>
      <c r="F70" s="57"/>
      <c r="G70" s="57"/>
      <c r="H70" s="57"/>
      <c r="I70" s="57"/>
      <c r="J70" s="57"/>
      <c r="K70" s="57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</row>
    <row r="71" spans="2:37">
      <c r="B71" s="134"/>
      <c r="C71" s="57"/>
      <c r="D71" s="57"/>
      <c r="E71" s="57"/>
      <c r="F71" s="57"/>
      <c r="G71" s="57"/>
      <c r="H71" s="57"/>
      <c r="I71" s="57"/>
      <c r="J71" s="57"/>
      <c r="K71" s="57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</row>
    <row r="72" spans="2:37">
      <c r="B72" s="134"/>
      <c r="C72" s="57"/>
      <c r="D72" s="57"/>
      <c r="E72" s="57"/>
      <c r="F72" s="57"/>
      <c r="G72" s="57"/>
      <c r="H72" s="57"/>
      <c r="I72" s="57"/>
      <c r="J72" s="57"/>
      <c r="K72" s="57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</row>
    <row r="73" spans="2:37">
      <c r="B73" s="134"/>
      <c r="C73" s="57"/>
      <c r="D73" s="57"/>
      <c r="E73" s="57"/>
      <c r="F73" s="57"/>
      <c r="G73" s="57"/>
      <c r="H73" s="57"/>
      <c r="I73" s="57"/>
      <c r="J73" s="57"/>
      <c r="K73" s="57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</row>
    <row r="74" spans="2:37">
      <c r="B74" s="134"/>
      <c r="C74" s="57"/>
      <c r="D74" s="57"/>
      <c r="E74" s="57"/>
      <c r="F74" s="57"/>
      <c r="G74" s="57"/>
      <c r="H74" s="57"/>
      <c r="I74" s="57"/>
      <c r="J74" s="57"/>
      <c r="K74" s="57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</row>
    <row r="75" spans="2:37">
      <c r="B75" s="134"/>
      <c r="C75" s="57"/>
      <c r="D75" s="57"/>
      <c r="E75" s="57"/>
      <c r="F75" s="57"/>
      <c r="G75" s="57"/>
      <c r="H75" s="57"/>
      <c r="I75" s="57"/>
      <c r="J75" s="57"/>
      <c r="K75" s="57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</row>
    <row r="76" spans="2:37">
      <c r="B76" s="134"/>
      <c r="C76" s="57"/>
      <c r="D76" s="57"/>
      <c r="E76" s="57"/>
      <c r="F76" s="57"/>
      <c r="G76" s="57"/>
      <c r="H76" s="57"/>
      <c r="I76" s="57"/>
      <c r="J76" s="57"/>
      <c r="K76" s="57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</row>
    <row r="77" spans="2:37">
      <c r="B77" s="134"/>
      <c r="C77" s="57"/>
      <c r="D77" s="57"/>
      <c r="E77" s="57"/>
      <c r="F77" s="57"/>
      <c r="G77" s="57"/>
      <c r="H77" s="57"/>
      <c r="I77" s="57"/>
      <c r="J77" s="57"/>
      <c r="K77" s="57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</row>
    <row r="78" spans="2:37">
      <c r="B78" s="134"/>
      <c r="C78" s="57"/>
      <c r="D78" s="57"/>
      <c r="E78" s="57"/>
      <c r="F78" s="57"/>
      <c r="G78" s="57"/>
      <c r="H78" s="57"/>
      <c r="I78" s="57"/>
      <c r="J78" s="57"/>
      <c r="K78" s="57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</row>
    <row r="79" spans="2:37">
      <c r="B79" s="134"/>
      <c r="C79" s="57"/>
      <c r="D79" s="57"/>
      <c r="E79" s="57"/>
      <c r="F79" s="57"/>
      <c r="G79" s="57"/>
      <c r="H79" s="57"/>
      <c r="I79" s="57"/>
      <c r="J79" s="57"/>
      <c r="K79" s="57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</row>
    <row r="80" spans="2:37">
      <c r="B80" s="134"/>
      <c r="C80" s="57"/>
      <c r="D80" s="57"/>
      <c r="E80" s="57"/>
      <c r="F80" s="57"/>
      <c r="G80" s="57"/>
      <c r="H80" s="57"/>
      <c r="I80" s="57"/>
      <c r="J80" s="57"/>
      <c r="K80" s="57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</row>
    <row r="81" spans="2:37">
      <c r="B81" s="134"/>
      <c r="C81" s="57"/>
      <c r="D81" s="57"/>
      <c r="E81" s="57"/>
      <c r="F81" s="57"/>
      <c r="G81" s="57"/>
      <c r="H81" s="57"/>
      <c r="I81" s="57"/>
      <c r="J81" s="57"/>
      <c r="K81" s="57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</row>
    <row r="82" spans="2:37">
      <c r="B82" s="134"/>
      <c r="C82" s="57"/>
      <c r="D82" s="57"/>
      <c r="E82" s="57"/>
      <c r="F82" s="57"/>
      <c r="G82" s="57"/>
      <c r="H82" s="57"/>
      <c r="I82" s="57"/>
      <c r="J82" s="57"/>
      <c r="K82" s="57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</row>
    <row r="83" spans="2:37">
      <c r="B83" s="134"/>
      <c r="C83" s="57"/>
      <c r="D83" s="57"/>
      <c r="E83" s="57"/>
      <c r="F83" s="57"/>
      <c r="G83" s="57"/>
      <c r="H83" s="57"/>
      <c r="I83" s="57"/>
      <c r="J83" s="57"/>
      <c r="K83" s="57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</row>
    <row r="84" spans="2:37">
      <c r="B84" s="134"/>
      <c r="C84" s="57"/>
      <c r="D84" s="57"/>
      <c r="E84" s="57"/>
      <c r="F84" s="57"/>
      <c r="G84" s="57"/>
      <c r="H84" s="57"/>
      <c r="I84" s="57"/>
      <c r="J84" s="57"/>
      <c r="K84" s="57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</row>
    <row r="85" spans="2:37">
      <c r="B85" s="134"/>
      <c r="C85" s="57"/>
      <c r="D85" s="57"/>
      <c r="E85" s="57"/>
      <c r="F85" s="57"/>
      <c r="G85" s="57"/>
      <c r="H85" s="57"/>
      <c r="I85" s="57"/>
      <c r="J85" s="57"/>
      <c r="K85" s="57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</row>
    <row r="86" spans="2:37">
      <c r="B86" s="134"/>
      <c r="C86" s="57"/>
      <c r="D86" s="57"/>
      <c r="E86" s="57"/>
      <c r="F86" s="57"/>
      <c r="G86" s="57"/>
      <c r="H86" s="57"/>
      <c r="I86" s="57"/>
      <c r="J86" s="57"/>
      <c r="K86" s="57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</row>
    <row r="87" spans="2:37">
      <c r="B87" s="134"/>
      <c r="C87" s="57"/>
      <c r="D87" s="57"/>
      <c r="E87" s="57"/>
      <c r="F87" s="57"/>
      <c r="G87" s="57"/>
      <c r="H87" s="57"/>
      <c r="I87" s="57"/>
      <c r="J87" s="57"/>
      <c r="K87" s="57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</row>
    <row r="88" spans="2:37">
      <c r="B88" s="134"/>
      <c r="C88" s="57"/>
      <c r="D88" s="57"/>
      <c r="E88" s="57"/>
      <c r="F88" s="57"/>
      <c r="G88" s="57"/>
      <c r="H88" s="57"/>
      <c r="I88" s="57"/>
      <c r="J88" s="57"/>
      <c r="K88" s="57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</row>
    <row r="89" spans="2:37">
      <c r="B89" s="134"/>
      <c r="C89" s="57"/>
      <c r="D89" s="57"/>
      <c r="E89" s="57"/>
      <c r="F89" s="57"/>
      <c r="G89" s="57"/>
      <c r="H89" s="57"/>
      <c r="I89" s="57"/>
      <c r="J89" s="57"/>
      <c r="K89" s="57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</row>
    <row r="90" spans="2:37">
      <c r="B90" s="134"/>
      <c r="C90" s="57"/>
      <c r="D90" s="57"/>
      <c r="E90" s="57"/>
      <c r="F90" s="57"/>
      <c r="G90" s="57"/>
      <c r="H90" s="57"/>
      <c r="I90" s="57"/>
      <c r="J90" s="57"/>
      <c r="K90" s="57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</row>
    <row r="91" spans="2:37">
      <c r="B91" s="134"/>
      <c r="C91" s="57"/>
      <c r="D91" s="57"/>
      <c r="E91" s="57"/>
      <c r="F91" s="57"/>
      <c r="G91" s="57"/>
      <c r="H91" s="57"/>
      <c r="I91" s="57"/>
      <c r="J91" s="57"/>
      <c r="K91" s="57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</row>
    <row r="92" spans="2:37">
      <c r="B92" s="134"/>
      <c r="C92" s="57"/>
      <c r="D92" s="57"/>
      <c r="E92" s="57"/>
      <c r="F92" s="57"/>
      <c r="G92" s="57"/>
      <c r="H92" s="57"/>
      <c r="I92" s="57"/>
      <c r="J92" s="57"/>
      <c r="K92" s="57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</row>
    <row r="93" spans="2:37">
      <c r="B93" s="134"/>
      <c r="C93" s="57"/>
      <c r="D93" s="57"/>
      <c r="E93" s="57"/>
      <c r="F93" s="57"/>
      <c r="G93" s="57"/>
      <c r="H93" s="57"/>
      <c r="I93" s="57"/>
      <c r="J93" s="57"/>
      <c r="K93" s="57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</row>
    <row r="94" spans="2:37">
      <c r="B94" s="134"/>
      <c r="C94" s="57"/>
      <c r="D94" s="57"/>
      <c r="E94" s="57"/>
      <c r="F94" s="57"/>
      <c r="G94" s="57"/>
      <c r="H94" s="57"/>
      <c r="I94" s="57"/>
      <c r="J94" s="57"/>
      <c r="K94" s="57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</row>
    <row r="95" spans="2:37">
      <c r="B95" s="134"/>
      <c r="C95" s="57"/>
      <c r="D95" s="57"/>
      <c r="E95" s="57"/>
      <c r="F95" s="57"/>
      <c r="G95" s="57"/>
      <c r="H95" s="57"/>
      <c r="I95" s="57"/>
      <c r="J95" s="57"/>
      <c r="K95" s="57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</row>
    <row r="96" spans="2:37">
      <c r="B96" s="134"/>
      <c r="C96" s="57"/>
      <c r="D96" s="57"/>
      <c r="E96" s="57"/>
      <c r="F96" s="57"/>
      <c r="G96" s="57"/>
      <c r="H96" s="57"/>
      <c r="I96" s="57"/>
      <c r="J96" s="57"/>
      <c r="K96" s="57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</row>
    <row r="97" spans="2:37">
      <c r="B97" s="134"/>
      <c r="C97" s="57"/>
      <c r="D97" s="57"/>
      <c r="E97" s="57"/>
      <c r="F97" s="57"/>
      <c r="G97" s="57"/>
      <c r="H97" s="57"/>
      <c r="I97" s="57"/>
      <c r="J97" s="57"/>
      <c r="K97" s="57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</row>
    <row r="98" spans="2:37">
      <c r="B98" s="134"/>
      <c r="C98" s="57"/>
      <c r="D98" s="57"/>
      <c r="E98" s="57"/>
      <c r="F98" s="57"/>
      <c r="G98" s="57"/>
      <c r="H98" s="57"/>
      <c r="I98" s="57"/>
      <c r="J98" s="57"/>
      <c r="K98" s="57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</row>
    <row r="99" spans="2:37">
      <c r="B99" s="134"/>
      <c r="C99" s="57"/>
      <c r="D99" s="57"/>
      <c r="E99" s="57"/>
      <c r="F99" s="57"/>
      <c r="G99" s="57"/>
      <c r="H99" s="57"/>
      <c r="I99" s="57"/>
      <c r="J99" s="57"/>
      <c r="K99" s="57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</row>
    <row r="100" spans="2:37">
      <c r="B100" s="134"/>
      <c r="C100" s="57"/>
      <c r="D100" s="57"/>
      <c r="E100" s="57"/>
      <c r="F100" s="57"/>
      <c r="G100" s="57"/>
      <c r="H100" s="57"/>
      <c r="I100" s="57"/>
      <c r="J100" s="57"/>
      <c r="K100" s="57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</row>
    <row r="101" spans="2:37">
      <c r="B101" s="134"/>
      <c r="C101" s="57"/>
      <c r="D101" s="57"/>
      <c r="E101" s="57"/>
      <c r="F101" s="57"/>
      <c r="G101" s="57"/>
      <c r="H101" s="57"/>
      <c r="I101" s="57"/>
      <c r="J101" s="57"/>
      <c r="K101" s="57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</row>
    <row r="102" spans="2:37">
      <c r="B102" s="134"/>
      <c r="C102" s="57"/>
      <c r="D102" s="57"/>
      <c r="E102" s="57"/>
      <c r="F102" s="57"/>
      <c r="G102" s="57"/>
      <c r="H102" s="57"/>
      <c r="I102" s="57"/>
      <c r="J102" s="57"/>
      <c r="K102" s="57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</row>
    <row r="103" spans="2:37">
      <c r="B103" s="134"/>
      <c r="C103" s="57"/>
      <c r="D103" s="57"/>
      <c r="E103" s="57"/>
      <c r="F103" s="57"/>
      <c r="G103" s="57"/>
      <c r="H103" s="57"/>
      <c r="I103" s="57"/>
      <c r="J103" s="57"/>
      <c r="K103" s="57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</row>
    <row r="104" spans="2:37">
      <c r="B104" s="134"/>
      <c r="C104" s="57"/>
      <c r="D104" s="57"/>
      <c r="E104" s="57"/>
      <c r="F104" s="57"/>
      <c r="G104" s="57"/>
      <c r="H104" s="57"/>
      <c r="I104" s="57"/>
      <c r="J104" s="57"/>
      <c r="K104" s="57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</row>
    <row r="105" spans="2:37">
      <c r="B105" s="134"/>
      <c r="C105" s="57"/>
      <c r="D105" s="57"/>
      <c r="E105" s="57"/>
      <c r="F105" s="57"/>
      <c r="G105" s="57"/>
      <c r="H105" s="57"/>
      <c r="I105" s="57"/>
      <c r="J105" s="57"/>
      <c r="K105" s="57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</row>
    <row r="106" spans="2:37">
      <c r="B106" s="134"/>
      <c r="C106" s="57"/>
      <c r="D106" s="57"/>
      <c r="E106" s="57"/>
      <c r="F106" s="57"/>
      <c r="G106" s="57"/>
      <c r="H106" s="57"/>
      <c r="I106" s="57"/>
      <c r="J106" s="57"/>
      <c r="K106" s="57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</row>
    <row r="107" spans="2:37">
      <c r="B107" s="134"/>
      <c r="C107" s="57"/>
      <c r="D107" s="57"/>
      <c r="E107" s="57"/>
      <c r="F107" s="57"/>
      <c r="G107" s="57"/>
      <c r="H107" s="57"/>
      <c r="I107" s="57"/>
      <c r="J107" s="57"/>
      <c r="K107" s="57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</row>
    <row r="108" spans="2:37">
      <c r="B108" s="134"/>
      <c r="C108" s="57"/>
      <c r="D108" s="57"/>
      <c r="E108" s="57"/>
      <c r="F108" s="57"/>
      <c r="G108" s="57"/>
      <c r="H108" s="57"/>
      <c r="I108" s="57"/>
      <c r="J108" s="57"/>
      <c r="K108" s="57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</row>
    <row r="109" spans="2:37">
      <c r="B109" s="134"/>
      <c r="C109" s="57"/>
      <c r="D109" s="57"/>
      <c r="E109" s="57"/>
      <c r="F109" s="57"/>
      <c r="G109" s="57"/>
      <c r="H109" s="57"/>
      <c r="I109" s="57"/>
      <c r="J109" s="57"/>
      <c r="K109" s="57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</row>
    <row r="110" spans="2:37">
      <c r="B110" s="134"/>
      <c r="C110" s="57"/>
      <c r="D110" s="57"/>
      <c r="E110" s="57"/>
      <c r="F110" s="57"/>
      <c r="G110" s="57"/>
      <c r="H110" s="57"/>
      <c r="I110" s="57"/>
      <c r="J110" s="57"/>
      <c r="K110" s="57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</row>
    <row r="111" spans="2:37">
      <c r="B111" s="134"/>
      <c r="C111" s="57"/>
      <c r="D111" s="57"/>
      <c r="E111" s="57"/>
      <c r="F111" s="57"/>
      <c r="G111" s="57"/>
      <c r="H111" s="57"/>
      <c r="I111" s="57"/>
      <c r="J111" s="57"/>
      <c r="K111" s="57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</row>
    <row r="112" spans="2:37">
      <c r="B112" s="134"/>
      <c r="C112" s="57"/>
      <c r="D112" s="57"/>
      <c r="E112" s="57"/>
      <c r="F112" s="57"/>
      <c r="G112" s="57"/>
      <c r="H112" s="57"/>
      <c r="I112" s="57"/>
      <c r="J112" s="57"/>
      <c r="K112" s="57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</row>
    <row r="113" spans="2:37">
      <c r="B113" s="134"/>
      <c r="C113" s="57"/>
      <c r="D113" s="57"/>
      <c r="E113" s="57"/>
      <c r="F113" s="57"/>
      <c r="G113" s="57"/>
      <c r="H113" s="57"/>
      <c r="I113" s="57"/>
      <c r="J113" s="57"/>
      <c r="K113" s="57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</row>
    <row r="114" spans="2:37">
      <c r="B114" s="134"/>
      <c r="C114" s="57"/>
      <c r="D114" s="57"/>
      <c r="E114" s="57"/>
      <c r="F114" s="57"/>
      <c r="G114" s="57"/>
      <c r="H114" s="57"/>
      <c r="I114" s="57"/>
      <c r="J114" s="57"/>
      <c r="K114" s="57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</row>
    <row r="115" spans="2:37">
      <c r="B115" s="134"/>
      <c r="C115" s="57"/>
      <c r="D115" s="57"/>
      <c r="E115" s="57"/>
      <c r="F115" s="57"/>
      <c r="G115" s="57"/>
      <c r="H115" s="57"/>
      <c r="I115" s="57"/>
      <c r="J115" s="57"/>
      <c r="K115" s="57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</row>
    <row r="116" spans="2:37">
      <c r="B116" s="134"/>
      <c r="C116" s="57"/>
      <c r="D116" s="57"/>
      <c r="E116" s="57"/>
      <c r="F116" s="57"/>
      <c r="G116" s="57"/>
      <c r="H116" s="57"/>
      <c r="I116" s="57"/>
      <c r="J116" s="57"/>
      <c r="K116" s="57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</row>
    <row r="117" spans="2:37">
      <c r="B117" s="134"/>
      <c r="C117" s="57"/>
      <c r="D117" s="57"/>
      <c r="E117" s="57"/>
      <c r="F117" s="57"/>
      <c r="G117" s="57"/>
      <c r="H117" s="57"/>
      <c r="I117" s="57"/>
      <c r="J117" s="57"/>
      <c r="K117" s="57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</row>
    <row r="118" spans="2:37">
      <c r="B118" s="134"/>
      <c r="C118" s="57"/>
      <c r="D118" s="57"/>
      <c r="E118" s="57"/>
      <c r="F118" s="57"/>
      <c r="G118" s="57"/>
      <c r="H118" s="57"/>
      <c r="I118" s="57"/>
      <c r="J118" s="57"/>
      <c r="K118" s="57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</row>
    <row r="119" spans="2:37">
      <c r="B119" s="134"/>
      <c r="C119" s="57"/>
      <c r="D119" s="57"/>
      <c r="E119" s="57"/>
      <c r="F119" s="57"/>
      <c r="G119" s="57"/>
      <c r="H119" s="57"/>
      <c r="I119" s="57"/>
      <c r="J119" s="57"/>
      <c r="K119" s="57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</row>
    <row r="120" spans="2:37">
      <c r="B120" s="134"/>
      <c r="C120" s="57"/>
      <c r="D120" s="57"/>
      <c r="E120" s="57"/>
      <c r="F120" s="57"/>
      <c r="G120" s="57"/>
      <c r="H120" s="57"/>
      <c r="I120" s="57"/>
      <c r="J120" s="57"/>
      <c r="K120" s="57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</row>
    <row r="121" spans="2:37">
      <c r="B121" s="134"/>
      <c r="C121" s="57"/>
      <c r="D121" s="57"/>
      <c r="E121" s="57"/>
      <c r="F121" s="57"/>
      <c r="G121" s="57"/>
      <c r="H121" s="57"/>
      <c r="I121" s="57"/>
      <c r="J121" s="57"/>
      <c r="K121" s="57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</row>
    <row r="122" spans="2:37">
      <c r="B122" s="134"/>
      <c r="C122" s="57"/>
      <c r="D122" s="57"/>
      <c r="E122" s="57"/>
      <c r="F122" s="57"/>
      <c r="G122" s="57"/>
      <c r="H122" s="57"/>
      <c r="I122" s="57"/>
      <c r="J122" s="57"/>
      <c r="K122" s="57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</row>
    <row r="123" spans="2:37">
      <c r="B123" s="134"/>
      <c r="C123" s="57"/>
      <c r="D123" s="57"/>
      <c r="E123" s="57"/>
      <c r="F123" s="57"/>
      <c r="G123" s="57"/>
      <c r="H123" s="57"/>
      <c r="I123" s="57"/>
      <c r="J123" s="57"/>
      <c r="K123" s="57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</row>
    <row r="124" spans="2:37">
      <c r="B124" s="134"/>
      <c r="C124" s="57"/>
      <c r="D124" s="57"/>
      <c r="E124" s="57"/>
      <c r="F124" s="57"/>
      <c r="G124" s="57"/>
      <c r="H124" s="57"/>
      <c r="I124" s="57"/>
      <c r="J124" s="57"/>
      <c r="K124" s="57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</row>
    <row r="125" spans="2:37">
      <c r="B125" s="134"/>
      <c r="C125" s="57"/>
      <c r="D125" s="57"/>
      <c r="E125" s="57"/>
      <c r="F125" s="57"/>
      <c r="G125" s="57"/>
      <c r="H125" s="57"/>
      <c r="I125" s="57"/>
      <c r="J125" s="57"/>
      <c r="K125" s="57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</row>
    <row r="126" spans="2:37">
      <c r="B126" s="134"/>
      <c r="C126" s="57"/>
      <c r="D126" s="57"/>
      <c r="E126" s="57"/>
      <c r="F126" s="57"/>
      <c r="G126" s="57"/>
      <c r="H126" s="57"/>
      <c r="I126" s="57"/>
      <c r="J126" s="57"/>
      <c r="K126" s="57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</row>
    <row r="127" spans="2:37">
      <c r="B127" s="134"/>
      <c r="C127" s="57"/>
      <c r="D127" s="57"/>
      <c r="E127" s="57"/>
      <c r="F127" s="57"/>
      <c r="G127" s="57"/>
      <c r="H127" s="57"/>
      <c r="I127" s="57"/>
      <c r="J127" s="57"/>
      <c r="K127" s="57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</row>
    <row r="128" spans="2:37">
      <c r="B128" s="134"/>
      <c r="C128" s="57"/>
      <c r="D128" s="57"/>
      <c r="E128" s="57"/>
      <c r="F128" s="57"/>
      <c r="G128" s="57"/>
      <c r="H128" s="57"/>
      <c r="I128" s="57"/>
      <c r="J128" s="57"/>
      <c r="K128" s="57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</row>
    <row r="129" spans="2:37">
      <c r="B129" s="134"/>
      <c r="C129" s="57"/>
      <c r="D129" s="57"/>
      <c r="E129" s="57"/>
      <c r="F129" s="57"/>
      <c r="G129" s="57"/>
      <c r="H129" s="57"/>
      <c r="I129" s="57"/>
      <c r="J129" s="57"/>
      <c r="K129" s="57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</row>
    <row r="130" spans="2:37">
      <c r="B130" s="134"/>
      <c r="C130" s="57"/>
      <c r="D130" s="57"/>
      <c r="E130" s="57"/>
      <c r="F130" s="57"/>
      <c r="G130" s="57"/>
      <c r="H130" s="57"/>
      <c r="I130" s="57"/>
      <c r="J130" s="57"/>
      <c r="K130" s="57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</row>
    <row r="131" spans="2:37">
      <c r="B131" s="134"/>
      <c r="C131" s="57"/>
      <c r="D131" s="57"/>
      <c r="E131" s="57"/>
      <c r="F131" s="57"/>
      <c r="G131" s="57"/>
      <c r="H131" s="57"/>
      <c r="I131" s="57"/>
      <c r="J131" s="57"/>
      <c r="K131" s="57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</row>
    <row r="132" spans="2:37">
      <c r="B132" s="134"/>
      <c r="C132" s="57"/>
      <c r="D132" s="57"/>
      <c r="E132" s="57"/>
      <c r="F132" s="57"/>
      <c r="G132" s="57"/>
      <c r="H132" s="57"/>
      <c r="I132" s="57"/>
      <c r="J132" s="57"/>
      <c r="K132" s="57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</row>
    <row r="133" spans="2:37">
      <c r="B133" s="134"/>
      <c r="C133" s="57"/>
      <c r="D133" s="57"/>
      <c r="E133" s="57"/>
      <c r="F133" s="57"/>
      <c r="G133" s="57"/>
      <c r="H133" s="57"/>
      <c r="I133" s="57"/>
      <c r="J133" s="57"/>
      <c r="K133" s="57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</row>
    <row r="134" spans="2:37">
      <c r="B134" s="134"/>
      <c r="C134" s="57"/>
      <c r="D134" s="57"/>
      <c r="E134" s="57"/>
      <c r="F134" s="57"/>
      <c r="G134" s="57"/>
      <c r="H134" s="57"/>
      <c r="I134" s="57"/>
      <c r="J134" s="57"/>
      <c r="K134" s="57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</row>
    <row r="135" spans="2:37">
      <c r="B135" s="134"/>
      <c r="C135" s="57"/>
      <c r="D135" s="57"/>
      <c r="E135" s="57"/>
      <c r="F135" s="57"/>
      <c r="G135" s="57"/>
      <c r="H135" s="57"/>
      <c r="I135" s="57"/>
      <c r="J135" s="57"/>
      <c r="K135" s="57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</row>
    <row r="136" spans="2:37">
      <c r="B136" s="134"/>
      <c r="C136" s="57"/>
      <c r="D136" s="57"/>
      <c r="E136" s="57"/>
      <c r="F136" s="57"/>
      <c r="G136" s="57"/>
      <c r="H136" s="57"/>
      <c r="I136" s="57"/>
      <c r="J136" s="57"/>
      <c r="K136" s="57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</row>
    <row r="137" spans="2:37">
      <c r="B137" s="134"/>
      <c r="C137" s="57"/>
      <c r="D137" s="57"/>
      <c r="E137" s="57"/>
      <c r="F137" s="57"/>
      <c r="G137" s="57"/>
      <c r="H137" s="57"/>
      <c r="I137" s="57"/>
      <c r="J137" s="57"/>
      <c r="K137" s="57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</row>
    <row r="138" spans="2:37">
      <c r="B138" s="134"/>
      <c r="C138" s="57"/>
      <c r="D138" s="57"/>
      <c r="E138" s="57"/>
      <c r="F138" s="57"/>
      <c r="G138" s="57"/>
      <c r="H138" s="57"/>
      <c r="I138" s="57"/>
      <c r="J138" s="57"/>
      <c r="K138" s="57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</row>
    <row r="139" spans="2:37">
      <c r="B139" s="134"/>
      <c r="C139" s="57"/>
      <c r="D139" s="57"/>
      <c r="E139" s="57"/>
      <c r="F139" s="57"/>
      <c r="G139" s="57"/>
      <c r="H139" s="57"/>
      <c r="I139" s="57"/>
      <c r="J139" s="57"/>
      <c r="K139" s="57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</row>
    <row r="140" spans="2:37">
      <c r="B140" s="134"/>
      <c r="C140" s="57"/>
      <c r="D140" s="57"/>
      <c r="E140" s="57"/>
      <c r="F140" s="57"/>
      <c r="G140" s="57"/>
      <c r="H140" s="57"/>
      <c r="I140" s="57"/>
      <c r="J140" s="57"/>
      <c r="K140" s="57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</row>
    <row r="141" spans="2:37">
      <c r="B141" s="134"/>
      <c r="C141" s="57"/>
      <c r="D141" s="57"/>
      <c r="E141" s="57"/>
      <c r="F141" s="57"/>
      <c r="G141" s="57"/>
      <c r="H141" s="57"/>
      <c r="I141" s="57"/>
      <c r="J141" s="57"/>
      <c r="K141" s="57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1"/>
      <c r="AG141" s="121"/>
      <c r="AH141" s="121"/>
      <c r="AI141" s="121"/>
      <c r="AJ141" s="121"/>
      <c r="AK141" s="121"/>
    </row>
    <row r="142" spans="2:37">
      <c r="B142" s="134"/>
      <c r="C142" s="57"/>
      <c r="D142" s="57"/>
      <c r="E142" s="57"/>
      <c r="F142" s="57"/>
      <c r="G142" s="57"/>
      <c r="H142" s="57"/>
      <c r="I142" s="57"/>
      <c r="J142" s="57"/>
      <c r="K142" s="57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  <c r="AE142" s="121"/>
      <c r="AF142" s="121"/>
      <c r="AG142" s="121"/>
      <c r="AH142" s="121"/>
      <c r="AI142" s="121"/>
      <c r="AJ142" s="121"/>
      <c r="AK142" s="121"/>
    </row>
    <row r="143" spans="2:37">
      <c r="B143" s="134"/>
      <c r="C143" s="57"/>
      <c r="D143" s="57"/>
      <c r="E143" s="57"/>
      <c r="F143" s="57"/>
      <c r="G143" s="57"/>
      <c r="H143" s="57"/>
      <c r="I143" s="57"/>
      <c r="J143" s="57"/>
      <c r="K143" s="57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  <c r="AD143" s="121"/>
      <c r="AE143" s="121"/>
      <c r="AF143" s="121"/>
      <c r="AG143" s="121"/>
      <c r="AH143" s="121"/>
      <c r="AI143" s="121"/>
      <c r="AJ143" s="121"/>
      <c r="AK143" s="121"/>
    </row>
    <row r="144" spans="2:37">
      <c r="B144" s="134"/>
      <c r="C144" s="57"/>
      <c r="D144" s="57"/>
      <c r="E144" s="57"/>
      <c r="F144" s="57"/>
      <c r="G144" s="57"/>
      <c r="H144" s="57"/>
      <c r="I144" s="57"/>
      <c r="J144" s="57"/>
      <c r="K144" s="57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  <c r="AD144" s="121"/>
      <c r="AE144" s="121"/>
      <c r="AF144" s="121"/>
      <c r="AG144" s="121"/>
      <c r="AH144" s="121"/>
      <c r="AI144" s="121"/>
      <c r="AJ144" s="121"/>
      <c r="AK144" s="121"/>
    </row>
    <row r="145" spans="2:37">
      <c r="B145" s="134"/>
      <c r="C145" s="57"/>
      <c r="D145" s="57"/>
      <c r="E145" s="57"/>
      <c r="F145" s="57"/>
      <c r="G145" s="57"/>
      <c r="H145" s="57"/>
      <c r="I145" s="57"/>
      <c r="J145" s="57"/>
      <c r="K145" s="57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  <c r="AE145" s="121"/>
      <c r="AF145" s="121"/>
      <c r="AG145" s="121"/>
      <c r="AH145" s="121"/>
      <c r="AI145" s="121"/>
      <c r="AJ145" s="121"/>
      <c r="AK145" s="121"/>
    </row>
    <row r="146" spans="2:37">
      <c r="B146" s="134"/>
      <c r="C146" s="57"/>
      <c r="D146" s="57"/>
      <c r="E146" s="57"/>
      <c r="F146" s="57"/>
      <c r="G146" s="57"/>
      <c r="H146" s="57"/>
      <c r="I146" s="57"/>
      <c r="J146" s="57"/>
      <c r="K146" s="57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  <c r="AE146" s="121"/>
      <c r="AF146" s="121"/>
      <c r="AG146" s="121"/>
      <c r="AH146" s="121"/>
      <c r="AI146" s="121"/>
      <c r="AJ146" s="121"/>
      <c r="AK146" s="121"/>
    </row>
    <row r="147" spans="2:37">
      <c r="B147" s="134"/>
      <c r="C147" s="57"/>
      <c r="D147" s="57"/>
      <c r="E147" s="57"/>
      <c r="F147" s="57"/>
      <c r="G147" s="57"/>
      <c r="H147" s="57"/>
      <c r="I147" s="57"/>
      <c r="J147" s="57"/>
      <c r="K147" s="57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/>
      <c r="AF147" s="121"/>
      <c r="AG147" s="121"/>
      <c r="AH147" s="121"/>
      <c r="AI147" s="121"/>
      <c r="AJ147" s="121"/>
      <c r="AK147" s="121"/>
    </row>
    <row r="148" spans="2:37">
      <c r="B148" s="134"/>
      <c r="C148" s="57"/>
      <c r="D148" s="57"/>
      <c r="E148" s="57"/>
      <c r="F148" s="57"/>
      <c r="G148" s="57"/>
      <c r="H148" s="57"/>
      <c r="I148" s="57"/>
      <c r="J148" s="57"/>
      <c r="K148" s="57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  <c r="AD148" s="121"/>
      <c r="AE148" s="121"/>
      <c r="AF148" s="121"/>
      <c r="AG148" s="121"/>
      <c r="AH148" s="121"/>
      <c r="AI148" s="121"/>
      <c r="AJ148" s="121"/>
      <c r="AK148" s="121"/>
    </row>
    <row r="149" spans="2:37">
      <c r="B149" s="134"/>
      <c r="C149" s="57"/>
      <c r="D149" s="57"/>
      <c r="E149" s="57"/>
      <c r="F149" s="57"/>
      <c r="G149" s="57"/>
      <c r="H149" s="57"/>
      <c r="I149" s="57"/>
      <c r="J149" s="57"/>
      <c r="K149" s="57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  <c r="AF149" s="121"/>
      <c r="AG149" s="121"/>
      <c r="AH149" s="121"/>
      <c r="AI149" s="121"/>
      <c r="AJ149" s="121"/>
      <c r="AK149" s="121"/>
    </row>
    <row r="150" spans="2:37">
      <c r="B150" s="134"/>
      <c r="C150" s="57"/>
      <c r="D150" s="57"/>
      <c r="E150" s="57"/>
      <c r="F150" s="57"/>
      <c r="G150" s="57"/>
      <c r="H150" s="57"/>
      <c r="I150" s="57"/>
      <c r="J150" s="57"/>
      <c r="K150" s="57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21"/>
      <c r="AH150" s="121"/>
      <c r="AI150" s="121"/>
      <c r="AJ150" s="121"/>
      <c r="AK150" s="121"/>
    </row>
    <row r="151" spans="2:37">
      <c r="B151" s="134"/>
      <c r="C151" s="57"/>
      <c r="D151" s="57"/>
      <c r="E151" s="57"/>
      <c r="F151" s="57"/>
      <c r="G151" s="57"/>
      <c r="H151" s="57"/>
      <c r="I151" s="57"/>
      <c r="J151" s="57"/>
      <c r="K151" s="57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21"/>
      <c r="AH151" s="121"/>
      <c r="AI151" s="121"/>
      <c r="AJ151" s="121"/>
      <c r="AK151" s="121"/>
    </row>
    <row r="152" spans="2:37">
      <c r="B152" s="134"/>
      <c r="C152" s="57"/>
      <c r="D152" s="57"/>
      <c r="E152" s="57"/>
      <c r="F152" s="57"/>
      <c r="G152" s="57"/>
      <c r="H152" s="57"/>
      <c r="I152" s="57"/>
      <c r="J152" s="57"/>
      <c r="K152" s="57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  <c r="AE152" s="121"/>
      <c r="AF152" s="121"/>
      <c r="AG152" s="121"/>
      <c r="AH152" s="121"/>
      <c r="AI152" s="121"/>
      <c r="AJ152" s="121"/>
      <c r="AK152" s="121"/>
    </row>
    <row r="153" spans="2:37">
      <c r="B153" s="134"/>
      <c r="C153" s="57"/>
      <c r="D153" s="57"/>
      <c r="E153" s="57"/>
      <c r="F153" s="57"/>
      <c r="G153" s="57"/>
      <c r="H153" s="57"/>
      <c r="I153" s="57"/>
      <c r="J153" s="57"/>
      <c r="K153" s="57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  <c r="AE153" s="121"/>
      <c r="AF153" s="121"/>
      <c r="AG153" s="121"/>
      <c r="AH153" s="121"/>
      <c r="AI153" s="121"/>
      <c r="AJ153" s="121"/>
      <c r="AK153" s="121"/>
    </row>
    <row r="154" spans="2:37">
      <c r="B154" s="134"/>
      <c r="C154" s="57"/>
      <c r="D154" s="57"/>
      <c r="E154" s="57"/>
      <c r="F154" s="57"/>
      <c r="G154" s="57"/>
      <c r="H154" s="57"/>
      <c r="I154" s="57"/>
      <c r="J154" s="57"/>
      <c r="K154" s="57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  <c r="AD154" s="121"/>
      <c r="AE154" s="121"/>
      <c r="AF154" s="121"/>
      <c r="AG154" s="121"/>
      <c r="AH154" s="121"/>
      <c r="AI154" s="121"/>
      <c r="AJ154" s="121"/>
      <c r="AK154" s="121"/>
    </row>
    <row r="155" spans="2:37">
      <c r="B155" s="134"/>
      <c r="C155" s="57"/>
      <c r="D155" s="57"/>
      <c r="E155" s="57"/>
      <c r="F155" s="57"/>
      <c r="G155" s="57"/>
      <c r="H155" s="57"/>
      <c r="I155" s="57"/>
      <c r="J155" s="57"/>
      <c r="K155" s="57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  <c r="AF155" s="121"/>
      <c r="AG155" s="121"/>
      <c r="AH155" s="121"/>
      <c r="AI155" s="121"/>
      <c r="AJ155" s="121"/>
      <c r="AK155" s="121"/>
    </row>
    <row r="156" spans="2:37">
      <c r="B156" s="134"/>
      <c r="C156" s="57"/>
      <c r="D156" s="57"/>
      <c r="E156" s="57"/>
      <c r="F156" s="57"/>
      <c r="G156" s="57"/>
      <c r="H156" s="57"/>
      <c r="I156" s="57"/>
      <c r="J156" s="57"/>
      <c r="K156" s="57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</row>
    <row r="157" spans="2:37">
      <c r="B157" s="134"/>
      <c r="C157" s="57"/>
      <c r="D157" s="57"/>
      <c r="E157" s="57"/>
      <c r="F157" s="57"/>
      <c r="G157" s="57"/>
      <c r="H157" s="57"/>
      <c r="I157" s="57"/>
      <c r="J157" s="57"/>
      <c r="K157" s="57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  <c r="AE157" s="121"/>
      <c r="AF157" s="121"/>
      <c r="AG157" s="121"/>
      <c r="AH157" s="121"/>
      <c r="AI157" s="121"/>
      <c r="AJ157" s="121"/>
      <c r="AK157" s="121"/>
    </row>
    <row r="158" spans="2:37">
      <c r="B158" s="134"/>
      <c r="C158" s="57"/>
      <c r="D158" s="57"/>
      <c r="E158" s="57"/>
      <c r="F158" s="57"/>
      <c r="G158" s="57"/>
      <c r="H158" s="57"/>
      <c r="I158" s="57"/>
      <c r="J158" s="57"/>
      <c r="K158" s="57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</row>
    <row r="159" spans="2:37">
      <c r="B159" s="134"/>
      <c r="C159" s="57"/>
      <c r="D159" s="57"/>
      <c r="E159" s="57"/>
      <c r="F159" s="57"/>
      <c r="G159" s="57"/>
      <c r="H159" s="57"/>
      <c r="I159" s="57"/>
      <c r="J159" s="57"/>
      <c r="K159" s="57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</row>
    <row r="160" spans="2:37">
      <c r="B160" s="134"/>
      <c r="C160" s="57"/>
      <c r="D160" s="57"/>
      <c r="E160" s="57"/>
      <c r="F160" s="57"/>
      <c r="G160" s="57"/>
      <c r="H160" s="57"/>
      <c r="I160" s="57"/>
      <c r="J160" s="57"/>
      <c r="K160" s="57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  <c r="AD160" s="121"/>
      <c r="AE160" s="121"/>
      <c r="AF160" s="121"/>
      <c r="AG160" s="121"/>
      <c r="AH160" s="121"/>
      <c r="AI160" s="121"/>
      <c r="AJ160" s="121"/>
      <c r="AK160" s="121"/>
    </row>
    <row r="161" spans="2:37">
      <c r="B161" s="134"/>
      <c r="C161" s="57"/>
      <c r="D161" s="57"/>
      <c r="E161" s="57"/>
      <c r="F161" s="57"/>
      <c r="G161" s="57"/>
      <c r="H161" s="57"/>
      <c r="I161" s="57"/>
      <c r="J161" s="57"/>
      <c r="K161" s="57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1"/>
    </row>
    <row r="162" spans="2:37">
      <c r="B162" s="134"/>
      <c r="C162" s="57"/>
      <c r="D162" s="57"/>
      <c r="E162" s="57"/>
      <c r="F162" s="57"/>
      <c r="G162" s="57"/>
      <c r="H162" s="57"/>
      <c r="I162" s="57"/>
      <c r="J162" s="57"/>
      <c r="K162" s="57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</row>
    <row r="163" spans="2:37">
      <c r="B163" s="134"/>
      <c r="C163" s="57"/>
      <c r="D163" s="57"/>
      <c r="E163" s="57"/>
      <c r="F163" s="57"/>
      <c r="G163" s="57"/>
      <c r="H163" s="57"/>
      <c r="I163" s="57"/>
      <c r="J163" s="57"/>
      <c r="K163" s="57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</row>
    <row r="164" spans="2:37">
      <c r="B164" s="134"/>
      <c r="C164" s="57"/>
      <c r="D164" s="57"/>
      <c r="E164" s="57"/>
      <c r="F164" s="57"/>
      <c r="G164" s="57"/>
      <c r="H164" s="57"/>
      <c r="I164" s="57"/>
      <c r="J164" s="57"/>
      <c r="K164" s="57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</row>
    <row r="165" spans="2:37">
      <c r="B165" s="134"/>
      <c r="C165" s="57"/>
      <c r="D165" s="57"/>
      <c r="E165" s="57"/>
      <c r="F165" s="57"/>
      <c r="G165" s="57"/>
      <c r="H165" s="57"/>
      <c r="I165" s="57"/>
      <c r="J165" s="57"/>
      <c r="K165" s="57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</row>
    <row r="166" spans="2:37">
      <c r="B166" s="134"/>
      <c r="C166" s="57"/>
      <c r="D166" s="57"/>
      <c r="E166" s="57"/>
      <c r="F166" s="57"/>
      <c r="G166" s="57"/>
      <c r="H166" s="57"/>
      <c r="I166" s="57"/>
      <c r="J166" s="57"/>
      <c r="K166" s="57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</row>
    <row r="167" spans="2:37">
      <c r="B167" s="134"/>
      <c r="C167" s="57"/>
      <c r="D167" s="57"/>
      <c r="E167" s="57"/>
      <c r="F167" s="57"/>
      <c r="G167" s="57"/>
      <c r="H167" s="57"/>
      <c r="I167" s="57"/>
      <c r="J167" s="57"/>
      <c r="K167" s="57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</row>
    <row r="168" spans="2:37">
      <c r="B168" s="134"/>
      <c r="C168" s="57"/>
      <c r="D168" s="57"/>
      <c r="E168" s="57"/>
      <c r="F168" s="57"/>
      <c r="G168" s="57"/>
      <c r="H168" s="57"/>
      <c r="I168" s="57"/>
      <c r="J168" s="57"/>
      <c r="K168" s="57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</row>
    <row r="169" spans="2:37">
      <c r="B169" s="134"/>
      <c r="C169" s="57"/>
      <c r="D169" s="57"/>
      <c r="E169" s="57"/>
      <c r="F169" s="57"/>
      <c r="G169" s="57"/>
      <c r="H169" s="57"/>
      <c r="I169" s="57"/>
      <c r="J169" s="57"/>
      <c r="K169" s="57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</row>
    <row r="170" spans="2:37">
      <c r="B170" s="134"/>
      <c r="C170" s="57"/>
      <c r="D170" s="57"/>
      <c r="E170" s="57"/>
      <c r="F170" s="57"/>
      <c r="G170" s="57"/>
      <c r="H170" s="57"/>
      <c r="I170" s="57"/>
      <c r="J170" s="57"/>
      <c r="K170" s="57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</row>
    <row r="171" spans="2:37">
      <c r="B171" s="134"/>
      <c r="C171" s="57"/>
      <c r="D171" s="57"/>
      <c r="E171" s="57"/>
      <c r="F171" s="57"/>
      <c r="G171" s="57"/>
      <c r="H171" s="57"/>
      <c r="I171" s="57"/>
      <c r="J171" s="57"/>
      <c r="K171" s="57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</row>
    <row r="172" spans="2:37">
      <c r="B172" s="134"/>
      <c r="C172" s="57"/>
      <c r="D172" s="57"/>
      <c r="E172" s="57"/>
      <c r="F172" s="57"/>
      <c r="G172" s="57"/>
      <c r="H172" s="57"/>
      <c r="I172" s="57"/>
      <c r="J172" s="57"/>
      <c r="K172" s="57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1"/>
      <c r="AH172" s="121"/>
      <c r="AI172" s="121"/>
      <c r="AJ172" s="121"/>
      <c r="AK172" s="121"/>
    </row>
    <row r="173" spans="2:37">
      <c r="B173" s="134"/>
      <c r="C173" s="57"/>
      <c r="D173" s="57"/>
      <c r="E173" s="57"/>
      <c r="F173" s="57"/>
      <c r="G173" s="57"/>
      <c r="H173" s="57"/>
      <c r="I173" s="57"/>
      <c r="J173" s="57"/>
      <c r="K173" s="57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1"/>
      <c r="AH173" s="121"/>
      <c r="AI173" s="121"/>
      <c r="AJ173" s="121"/>
      <c r="AK173" s="121"/>
    </row>
    <row r="174" spans="2:37">
      <c r="B174" s="134"/>
      <c r="C174" s="57"/>
      <c r="D174" s="57"/>
      <c r="E174" s="57"/>
      <c r="F174" s="57"/>
      <c r="G174" s="57"/>
      <c r="H174" s="57"/>
      <c r="I174" s="57"/>
      <c r="J174" s="57"/>
      <c r="K174" s="57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1"/>
      <c r="AH174" s="121"/>
      <c r="AI174" s="121"/>
      <c r="AJ174" s="121"/>
      <c r="AK174" s="121"/>
    </row>
    <row r="175" spans="2:37">
      <c r="B175" s="134"/>
      <c r="C175" s="57"/>
      <c r="D175" s="57"/>
      <c r="E175" s="57"/>
      <c r="F175" s="57"/>
      <c r="G175" s="57"/>
      <c r="H175" s="57"/>
      <c r="I175" s="57"/>
      <c r="J175" s="57"/>
      <c r="K175" s="57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1"/>
      <c r="AH175" s="121"/>
      <c r="AI175" s="121"/>
      <c r="AJ175" s="121"/>
      <c r="AK175" s="121"/>
    </row>
    <row r="176" spans="2:37">
      <c r="B176" s="134"/>
      <c r="C176" s="57"/>
      <c r="D176" s="57"/>
      <c r="E176" s="57"/>
      <c r="F176" s="57"/>
      <c r="G176" s="57"/>
      <c r="H176" s="57"/>
      <c r="I176" s="57"/>
      <c r="J176" s="57"/>
      <c r="K176" s="57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1"/>
      <c r="AH176" s="121"/>
      <c r="AI176" s="121"/>
      <c r="AJ176" s="121"/>
      <c r="AK176" s="121"/>
    </row>
    <row r="177" spans="2:37">
      <c r="B177" s="134"/>
      <c r="C177" s="57"/>
      <c r="D177" s="57"/>
      <c r="E177" s="57"/>
      <c r="F177" s="57"/>
      <c r="G177" s="57"/>
      <c r="H177" s="57"/>
      <c r="I177" s="57"/>
      <c r="J177" s="57"/>
      <c r="K177" s="57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1"/>
      <c r="AH177" s="121"/>
      <c r="AI177" s="121"/>
      <c r="AJ177" s="121"/>
      <c r="AK177" s="121"/>
    </row>
    <row r="178" spans="2:37">
      <c r="B178" s="134"/>
      <c r="C178" s="57"/>
      <c r="D178" s="57"/>
      <c r="E178" s="57"/>
      <c r="F178" s="57"/>
      <c r="G178" s="57"/>
      <c r="H178" s="57"/>
      <c r="I178" s="57"/>
      <c r="J178" s="57"/>
      <c r="K178" s="57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1"/>
      <c r="AH178" s="121"/>
      <c r="AI178" s="121"/>
      <c r="AJ178" s="121"/>
      <c r="AK178" s="121"/>
    </row>
    <row r="179" spans="2:37">
      <c r="B179" s="134"/>
      <c r="C179" s="57"/>
      <c r="D179" s="57"/>
      <c r="E179" s="57"/>
      <c r="F179" s="57"/>
      <c r="G179" s="57"/>
      <c r="H179" s="57"/>
      <c r="I179" s="57"/>
      <c r="J179" s="57"/>
      <c r="K179" s="57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  <c r="AC179" s="121"/>
      <c r="AD179" s="121"/>
      <c r="AE179" s="121"/>
      <c r="AF179" s="121"/>
      <c r="AG179" s="121"/>
      <c r="AH179" s="121"/>
      <c r="AI179" s="121"/>
      <c r="AJ179" s="121"/>
      <c r="AK179" s="121"/>
    </row>
    <row r="180" spans="2:37">
      <c r="B180" s="134"/>
      <c r="C180" s="57"/>
      <c r="D180" s="57"/>
      <c r="E180" s="57"/>
      <c r="F180" s="57"/>
      <c r="G180" s="57"/>
      <c r="H180" s="57"/>
      <c r="I180" s="57"/>
      <c r="J180" s="57"/>
      <c r="K180" s="57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  <c r="AC180" s="121"/>
      <c r="AD180" s="121"/>
      <c r="AE180" s="121"/>
      <c r="AF180" s="121"/>
      <c r="AG180" s="121"/>
      <c r="AH180" s="121"/>
      <c r="AI180" s="121"/>
      <c r="AJ180" s="121"/>
      <c r="AK180" s="121"/>
    </row>
    <row r="181" spans="2:37">
      <c r="B181" s="134"/>
      <c r="C181" s="57"/>
      <c r="D181" s="57"/>
      <c r="E181" s="57"/>
      <c r="F181" s="57"/>
      <c r="G181" s="57"/>
      <c r="H181" s="57"/>
      <c r="I181" s="57"/>
      <c r="J181" s="57"/>
      <c r="K181" s="57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  <c r="AC181" s="121"/>
      <c r="AD181" s="121"/>
      <c r="AE181" s="121"/>
      <c r="AF181" s="121"/>
      <c r="AG181" s="121"/>
      <c r="AH181" s="121"/>
      <c r="AI181" s="121"/>
      <c r="AJ181" s="121"/>
      <c r="AK181" s="121"/>
    </row>
    <row r="182" spans="2:37">
      <c r="B182" s="134"/>
      <c r="C182" s="57"/>
      <c r="D182" s="57"/>
      <c r="E182" s="57"/>
      <c r="F182" s="57"/>
      <c r="G182" s="57"/>
      <c r="H182" s="57"/>
      <c r="I182" s="57"/>
      <c r="J182" s="57"/>
      <c r="K182" s="57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  <c r="AC182" s="121"/>
      <c r="AD182" s="121"/>
      <c r="AE182" s="121"/>
      <c r="AF182" s="121"/>
      <c r="AG182" s="121"/>
      <c r="AH182" s="121"/>
      <c r="AI182" s="121"/>
      <c r="AJ182" s="121"/>
      <c r="AK182" s="121"/>
    </row>
    <row r="183" spans="2:37">
      <c r="B183" s="134"/>
      <c r="C183" s="57"/>
      <c r="D183" s="57"/>
      <c r="E183" s="57"/>
      <c r="F183" s="57"/>
      <c r="G183" s="57"/>
      <c r="H183" s="57"/>
      <c r="I183" s="57"/>
      <c r="J183" s="57"/>
      <c r="K183" s="57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  <c r="AC183" s="121"/>
      <c r="AD183" s="121"/>
      <c r="AE183" s="121"/>
      <c r="AF183" s="121"/>
      <c r="AG183" s="121"/>
      <c r="AH183" s="121"/>
      <c r="AI183" s="121"/>
      <c r="AJ183" s="121"/>
      <c r="AK183" s="121"/>
    </row>
    <row r="184" spans="2:37">
      <c r="B184" s="134"/>
      <c r="C184" s="57"/>
      <c r="D184" s="57"/>
      <c r="E184" s="57"/>
      <c r="F184" s="57"/>
      <c r="G184" s="57"/>
      <c r="H184" s="57"/>
      <c r="I184" s="57"/>
      <c r="J184" s="57"/>
      <c r="K184" s="57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  <c r="AC184" s="121"/>
      <c r="AD184" s="121"/>
      <c r="AE184" s="121"/>
      <c r="AF184" s="121"/>
      <c r="AG184" s="121"/>
      <c r="AH184" s="121"/>
      <c r="AI184" s="121"/>
      <c r="AJ184" s="121"/>
      <c r="AK184" s="121"/>
    </row>
    <row r="185" spans="2:37">
      <c r="B185" s="134"/>
      <c r="C185" s="57"/>
      <c r="D185" s="57"/>
      <c r="E185" s="57"/>
      <c r="F185" s="57"/>
      <c r="G185" s="57"/>
      <c r="H185" s="57"/>
      <c r="I185" s="57"/>
      <c r="J185" s="57"/>
      <c r="K185" s="57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  <c r="AC185" s="121"/>
      <c r="AD185" s="121"/>
      <c r="AE185" s="121"/>
      <c r="AF185" s="121"/>
      <c r="AG185" s="121"/>
      <c r="AH185" s="121"/>
      <c r="AI185" s="121"/>
      <c r="AJ185" s="121"/>
      <c r="AK185" s="121"/>
    </row>
    <row r="186" spans="2:37">
      <c r="B186" s="134"/>
      <c r="C186" s="57"/>
      <c r="D186" s="57"/>
      <c r="E186" s="57"/>
      <c r="F186" s="57"/>
      <c r="G186" s="57"/>
      <c r="H186" s="57"/>
      <c r="I186" s="57"/>
      <c r="J186" s="57"/>
      <c r="K186" s="57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  <c r="AC186" s="121"/>
      <c r="AD186" s="121"/>
      <c r="AE186" s="121"/>
      <c r="AF186" s="121"/>
      <c r="AG186" s="121"/>
      <c r="AH186" s="121"/>
      <c r="AI186" s="121"/>
      <c r="AJ186" s="121"/>
      <c r="AK186" s="121"/>
    </row>
    <row r="187" spans="2:37">
      <c r="B187" s="134"/>
      <c r="C187" s="57"/>
      <c r="D187" s="57"/>
      <c r="E187" s="57"/>
      <c r="F187" s="57"/>
      <c r="G187" s="57"/>
      <c r="H187" s="57"/>
      <c r="I187" s="57"/>
      <c r="J187" s="57"/>
      <c r="K187" s="57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  <c r="AC187" s="121"/>
      <c r="AD187" s="121"/>
      <c r="AE187" s="121"/>
      <c r="AF187" s="121"/>
      <c r="AG187" s="121"/>
      <c r="AH187" s="121"/>
      <c r="AI187" s="121"/>
      <c r="AJ187" s="121"/>
      <c r="AK187" s="121"/>
    </row>
    <row r="188" spans="2:37">
      <c r="B188" s="134"/>
      <c r="C188" s="57"/>
      <c r="D188" s="57"/>
      <c r="E188" s="57"/>
      <c r="F188" s="57"/>
      <c r="G188" s="57"/>
      <c r="H188" s="57"/>
      <c r="I188" s="57"/>
      <c r="J188" s="57"/>
      <c r="K188" s="57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  <c r="AC188" s="121"/>
      <c r="AD188" s="121"/>
      <c r="AE188" s="121"/>
      <c r="AF188" s="121"/>
      <c r="AG188" s="121"/>
      <c r="AH188" s="121"/>
      <c r="AI188" s="121"/>
      <c r="AJ188" s="121"/>
      <c r="AK188" s="121"/>
    </row>
    <row r="189" spans="2:37">
      <c r="B189" s="134"/>
      <c r="C189" s="57"/>
      <c r="D189" s="57"/>
      <c r="E189" s="57"/>
      <c r="F189" s="57"/>
      <c r="G189" s="57"/>
      <c r="H189" s="57"/>
      <c r="I189" s="57"/>
      <c r="J189" s="57"/>
      <c r="K189" s="57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  <c r="AC189" s="121"/>
      <c r="AD189" s="121"/>
      <c r="AE189" s="121"/>
      <c r="AF189" s="121"/>
      <c r="AG189" s="121"/>
      <c r="AH189" s="121"/>
      <c r="AI189" s="121"/>
      <c r="AJ189" s="121"/>
      <c r="AK189" s="121"/>
    </row>
    <row r="190" spans="2:37">
      <c r="B190" s="134"/>
      <c r="C190" s="57"/>
      <c r="D190" s="57"/>
      <c r="E190" s="57"/>
      <c r="F190" s="57"/>
      <c r="G190" s="57"/>
      <c r="H190" s="57"/>
      <c r="I190" s="57"/>
      <c r="J190" s="57"/>
      <c r="K190" s="57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  <c r="AC190" s="121"/>
      <c r="AD190" s="121"/>
      <c r="AE190" s="121"/>
      <c r="AF190" s="121"/>
      <c r="AG190" s="121"/>
      <c r="AH190" s="121"/>
      <c r="AI190" s="121"/>
      <c r="AJ190" s="121"/>
      <c r="AK190" s="121"/>
    </row>
    <row r="191" spans="2:37">
      <c r="B191" s="134"/>
      <c r="C191" s="57"/>
      <c r="D191" s="57"/>
      <c r="E191" s="57"/>
      <c r="F191" s="57"/>
      <c r="G191" s="57"/>
      <c r="H191" s="57"/>
      <c r="I191" s="57"/>
      <c r="J191" s="57"/>
      <c r="K191" s="57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  <c r="AC191" s="121"/>
      <c r="AD191" s="121"/>
      <c r="AE191" s="121"/>
      <c r="AF191" s="121"/>
      <c r="AG191" s="121"/>
      <c r="AH191" s="121"/>
      <c r="AI191" s="121"/>
      <c r="AJ191" s="121"/>
      <c r="AK191" s="121"/>
    </row>
    <row r="192" spans="2:37">
      <c r="B192" s="134"/>
      <c r="C192" s="57"/>
      <c r="D192" s="57"/>
      <c r="E192" s="57"/>
      <c r="F192" s="57"/>
      <c r="G192" s="57"/>
      <c r="H192" s="57"/>
      <c r="I192" s="57"/>
      <c r="J192" s="57"/>
      <c r="K192" s="57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  <c r="AC192" s="121"/>
      <c r="AD192" s="121"/>
      <c r="AE192" s="121"/>
      <c r="AF192" s="121"/>
      <c r="AG192" s="121"/>
      <c r="AH192" s="121"/>
      <c r="AI192" s="121"/>
      <c r="AJ192" s="121"/>
      <c r="AK192" s="121"/>
    </row>
    <row r="193" spans="2:37">
      <c r="B193" s="134"/>
      <c r="C193" s="57"/>
      <c r="D193" s="57"/>
      <c r="E193" s="57"/>
      <c r="F193" s="57"/>
      <c r="G193" s="57"/>
      <c r="H193" s="57"/>
      <c r="I193" s="57"/>
      <c r="J193" s="57"/>
      <c r="K193" s="57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  <c r="AC193" s="121"/>
      <c r="AD193" s="121"/>
      <c r="AE193" s="121"/>
      <c r="AF193" s="121"/>
      <c r="AG193" s="121"/>
      <c r="AH193" s="121"/>
      <c r="AI193" s="121"/>
      <c r="AJ193" s="121"/>
      <c r="AK193" s="121"/>
    </row>
    <row r="194" spans="2:37">
      <c r="B194" s="134"/>
      <c r="C194" s="57"/>
      <c r="D194" s="57"/>
      <c r="E194" s="57"/>
      <c r="F194" s="57"/>
      <c r="G194" s="57"/>
      <c r="H194" s="57"/>
      <c r="I194" s="57"/>
      <c r="J194" s="57"/>
      <c r="K194" s="57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  <c r="AD194" s="121"/>
      <c r="AE194" s="121"/>
      <c r="AF194" s="121"/>
      <c r="AG194" s="121"/>
      <c r="AH194" s="121"/>
      <c r="AI194" s="121"/>
      <c r="AJ194" s="121"/>
      <c r="AK194" s="121"/>
    </row>
    <row r="195" spans="2:37">
      <c r="B195" s="134"/>
      <c r="C195" s="57"/>
      <c r="D195" s="57"/>
      <c r="E195" s="57"/>
      <c r="F195" s="57"/>
      <c r="G195" s="57"/>
      <c r="H195" s="57"/>
      <c r="I195" s="57"/>
      <c r="J195" s="57"/>
      <c r="K195" s="57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  <c r="AD195" s="121"/>
      <c r="AE195" s="121"/>
      <c r="AF195" s="121"/>
      <c r="AG195" s="121"/>
      <c r="AH195" s="121"/>
      <c r="AI195" s="121"/>
      <c r="AJ195" s="121"/>
      <c r="AK195" s="121"/>
    </row>
    <row r="196" spans="2:37">
      <c r="B196" s="134"/>
      <c r="C196" s="57"/>
      <c r="D196" s="57"/>
      <c r="E196" s="57"/>
      <c r="F196" s="57"/>
      <c r="G196" s="57"/>
      <c r="H196" s="57"/>
      <c r="I196" s="57"/>
      <c r="J196" s="57"/>
      <c r="K196" s="57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</row>
    <row r="197" spans="2:37">
      <c r="B197" s="134"/>
      <c r="C197" s="57"/>
      <c r="D197" s="57"/>
      <c r="E197" s="57"/>
      <c r="F197" s="57"/>
      <c r="G197" s="57"/>
      <c r="H197" s="57"/>
      <c r="I197" s="57"/>
      <c r="J197" s="57"/>
      <c r="K197" s="57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</row>
    <row r="198" spans="2:37">
      <c r="B198" s="134"/>
      <c r="C198" s="57"/>
      <c r="D198" s="57"/>
      <c r="E198" s="57"/>
      <c r="F198" s="57"/>
      <c r="G198" s="57"/>
      <c r="H198" s="57"/>
      <c r="I198" s="57"/>
      <c r="J198" s="57"/>
      <c r="K198" s="57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  <c r="AC198" s="121"/>
      <c r="AD198" s="121"/>
      <c r="AE198" s="121"/>
      <c r="AF198" s="121"/>
      <c r="AG198" s="121"/>
      <c r="AH198" s="121"/>
      <c r="AI198" s="121"/>
      <c r="AJ198" s="121"/>
      <c r="AK198" s="121"/>
    </row>
    <row r="199" spans="2:37">
      <c r="B199" s="134"/>
      <c r="C199" s="57"/>
      <c r="D199" s="57"/>
      <c r="E199" s="57"/>
      <c r="F199" s="57"/>
      <c r="G199" s="57"/>
      <c r="H199" s="57"/>
      <c r="I199" s="57"/>
      <c r="J199" s="57"/>
      <c r="K199" s="57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1"/>
    </row>
    <row r="200" spans="2:37">
      <c r="B200" s="134"/>
      <c r="C200" s="57"/>
      <c r="D200" s="57"/>
      <c r="E200" s="57"/>
      <c r="F200" s="57"/>
      <c r="G200" s="57"/>
      <c r="H200" s="57"/>
      <c r="I200" s="57"/>
      <c r="J200" s="57"/>
      <c r="K200" s="57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</row>
    <row r="201" spans="2:37">
      <c r="B201" s="134"/>
      <c r="C201" s="57"/>
      <c r="D201" s="57"/>
      <c r="E201" s="57"/>
      <c r="F201" s="57"/>
      <c r="G201" s="57"/>
      <c r="H201" s="57"/>
      <c r="I201" s="57"/>
      <c r="J201" s="57"/>
      <c r="K201" s="57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</row>
    <row r="202" spans="2:37">
      <c r="B202" s="134"/>
      <c r="C202" s="57"/>
      <c r="D202" s="57"/>
      <c r="E202" s="57"/>
      <c r="F202" s="57"/>
      <c r="G202" s="57"/>
      <c r="H202" s="57"/>
      <c r="I202" s="57"/>
      <c r="J202" s="57"/>
      <c r="K202" s="57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</row>
    <row r="203" spans="2:37">
      <c r="B203" s="134"/>
      <c r="C203" s="57"/>
      <c r="D203" s="57"/>
      <c r="E203" s="57"/>
      <c r="F203" s="57"/>
      <c r="G203" s="57"/>
      <c r="H203" s="57"/>
      <c r="I203" s="57"/>
      <c r="J203" s="57"/>
      <c r="K203" s="57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</row>
    <row r="204" spans="2:37">
      <c r="B204" s="134"/>
      <c r="C204" s="57"/>
      <c r="D204" s="57"/>
      <c r="E204" s="57"/>
      <c r="F204" s="57"/>
      <c r="G204" s="57"/>
      <c r="H204" s="57"/>
      <c r="I204" s="57"/>
      <c r="J204" s="57"/>
      <c r="K204" s="57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</row>
    <row r="205" spans="2:37">
      <c r="B205" s="134"/>
      <c r="C205" s="57"/>
      <c r="D205" s="57"/>
      <c r="E205" s="57"/>
      <c r="F205" s="57"/>
      <c r="G205" s="57"/>
      <c r="H205" s="57"/>
      <c r="I205" s="57"/>
      <c r="J205" s="57"/>
      <c r="K205" s="57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</row>
    <row r="206" spans="2:37">
      <c r="B206" s="134"/>
      <c r="C206" s="57"/>
      <c r="D206" s="57"/>
      <c r="E206" s="57"/>
      <c r="F206" s="57"/>
      <c r="G206" s="57"/>
      <c r="H206" s="57"/>
      <c r="I206" s="57"/>
      <c r="J206" s="57"/>
      <c r="K206" s="57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</row>
    <row r="207" spans="2:37">
      <c r="B207" s="134"/>
      <c r="C207" s="57"/>
      <c r="D207" s="57"/>
      <c r="E207" s="57"/>
      <c r="F207" s="57"/>
      <c r="G207" s="57"/>
      <c r="H207" s="57"/>
      <c r="I207" s="57"/>
      <c r="J207" s="57"/>
      <c r="K207" s="57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</row>
    <row r="208" spans="2:37">
      <c r="B208" s="134"/>
      <c r="C208" s="57"/>
      <c r="D208" s="57"/>
      <c r="E208" s="57"/>
      <c r="F208" s="57"/>
      <c r="G208" s="57"/>
      <c r="H208" s="57"/>
      <c r="I208" s="57"/>
      <c r="J208" s="57"/>
      <c r="K208" s="57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</row>
    <row r="209" spans="2:37">
      <c r="B209" s="134"/>
      <c r="C209" s="57"/>
      <c r="D209" s="57"/>
      <c r="E209" s="57"/>
      <c r="F209" s="57"/>
      <c r="G209" s="57"/>
      <c r="H209" s="57"/>
      <c r="I209" s="57"/>
      <c r="J209" s="57"/>
      <c r="K209" s="57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</row>
    <row r="210" spans="2:37">
      <c r="B210" s="134"/>
      <c r="C210" s="57"/>
      <c r="D210" s="57"/>
      <c r="E210" s="57"/>
      <c r="F210" s="57"/>
      <c r="G210" s="57"/>
      <c r="H210" s="57"/>
      <c r="I210" s="57"/>
      <c r="J210" s="57"/>
      <c r="K210" s="57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  <c r="AC210" s="121"/>
      <c r="AD210" s="121"/>
      <c r="AE210" s="121"/>
      <c r="AF210" s="121"/>
      <c r="AG210" s="121"/>
      <c r="AH210" s="121"/>
      <c r="AI210" s="121"/>
      <c r="AJ210" s="121"/>
      <c r="AK210" s="121"/>
    </row>
    <row r="211" spans="2:37">
      <c r="B211" s="134"/>
      <c r="C211" s="57"/>
      <c r="D211" s="57"/>
      <c r="E211" s="57"/>
      <c r="F211" s="57"/>
      <c r="G211" s="57"/>
      <c r="H211" s="57"/>
      <c r="I211" s="57"/>
      <c r="J211" s="57"/>
      <c r="K211" s="57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  <c r="AC211" s="121"/>
      <c r="AD211" s="121"/>
      <c r="AE211" s="121"/>
      <c r="AF211" s="121"/>
      <c r="AG211" s="121"/>
      <c r="AH211" s="121"/>
      <c r="AI211" s="121"/>
      <c r="AJ211" s="121"/>
      <c r="AK211" s="121"/>
    </row>
    <row r="212" spans="2:37">
      <c r="B212" s="134"/>
      <c r="C212" s="57"/>
      <c r="D212" s="57"/>
      <c r="E212" s="57"/>
      <c r="F212" s="57"/>
      <c r="G212" s="57"/>
      <c r="H212" s="57"/>
      <c r="I212" s="57"/>
      <c r="J212" s="57"/>
      <c r="K212" s="57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  <c r="AC212" s="121"/>
      <c r="AD212" s="121"/>
      <c r="AE212" s="121"/>
      <c r="AF212" s="121"/>
      <c r="AG212" s="121"/>
      <c r="AH212" s="121"/>
      <c r="AI212" s="121"/>
      <c r="AJ212" s="121"/>
      <c r="AK212" s="121"/>
    </row>
    <row r="213" spans="2:37">
      <c r="B213" s="134"/>
      <c r="C213" s="57"/>
      <c r="D213" s="57"/>
      <c r="E213" s="57"/>
      <c r="F213" s="57"/>
      <c r="G213" s="57"/>
      <c r="H213" s="57"/>
      <c r="I213" s="57"/>
      <c r="J213" s="57"/>
      <c r="K213" s="57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  <c r="AC213" s="121"/>
      <c r="AD213" s="121"/>
      <c r="AE213" s="121"/>
      <c r="AF213" s="121"/>
      <c r="AG213" s="121"/>
      <c r="AH213" s="121"/>
      <c r="AI213" s="121"/>
      <c r="AJ213" s="121"/>
      <c r="AK213" s="121"/>
    </row>
    <row r="214" spans="2:37">
      <c r="B214" s="134"/>
      <c r="C214" s="57"/>
      <c r="D214" s="57"/>
      <c r="E214" s="57"/>
      <c r="F214" s="57"/>
      <c r="G214" s="57"/>
      <c r="H214" s="57"/>
      <c r="I214" s="57"/>
      <c r="J214" s="57"/>
      <c r="K214" s="57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  <c r="AC214" s="121"/>
      <c r="AD214" s="121"/>
      <c r="AE214" s="121"/>
      <c r="AF214" s="121"/>
      <c r="AG214" s="121"/>
      <c r="AH214" s="121"/>
      <c r="AI214" s="121"/>
      <c r="AJ214" s="121"/>
      <c r="AK214" s="121"/>
    </row>
    <row r="215" spans="2:37">
      <c r="B215" s="134"/>
      <c r="C215" s="57"/>
      <c r="D215" s="57"/>
      <c r="E215" s="57"/>
      <c r="F215" s="57"/>
      <c r="G215" s="57"/>
      <c r="H215" s="57"/>
      <c r="I215" s="57"/>
      <c r="J215" s="57"/>
      <c r="K215" s="57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1"/>
      <c r="AH215" s="121"/>
      <c r="AI215" s="121"/>
      <c r="AJ215" s="121"/>
      <c r="AK215" s="121"/>
    </row>
    <row r="216" spans="2:37">
      <c r="B216" s="134"/>
      <c r="C216" s="57"/>
      <c r="D216" s="57"/>
      <c r="E216" s="57"/>
      <c r="F216" s="57"/>
      <c r="G216" s="57"/>
      <c r="H216" s="57"/>
      <c r="I216" s="57"/>
      <c r="J216" s="57"/>
      <c r="K216" s="57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  <c r="AC216" s="121"/>
      <c r="AD216" s="121"/>
      <c r="AE216" s="121"/>
      <c r="AF216" s="121"/>
      <c r="AG216" s="121"/>
      <c r="AH216" s="121"/>
      <c r="AI216" s="121"/>
      <c r="AJ216" s="121"/>
      <c r="AK216" s="121"/>
    </row>
    <row r="217" spans="2:37">
      <c r="B217" s="134"/>
      <c r="C217" s="57"/>
      <c r="D217" s="57"/>
      <c r="E217" s="57"/>
      <c r="F217" s="57"/>
      <c r="G217" s="57"/>
      <c r="H217" s="57"/>
      <c r="I217" s="57"/>
      <c r="J217" s="57"/>
      <c r="K217" s="57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  <c r="AC217" s="121"/>
      <c r="AD217" s="121"/>
      <c r="AE217" s="121"/>
      <c r="AF217" s="121"/>
      <c r="AG217" s="121"/>
      <c r="AH217" s="121"/>
      <c r="AI217" s="121"/>
      <c r="AJ217" s="121"/>
      <c r="AK217" s="121"/>
    </row>
    <row r="218" spans="2:37">
      <c r="B218" s="134"/>
      <c r="C218" s="57"/>
      <c r="D218" s="57"/>
      <c r="E218" s="57"/>
      <c r="F218" s="57"/>
      <c r="G218" s="57"/>
      <c r="H218" s="57"/>
      <c r="I218" s="57"/>
      <c r="J218" s="57"/>
      <c r="K218" s="57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1"/>
      <c r="AG218" s="121"/>
      <c r="AH218" s="121"/>
      <c r="AI218" s="121"/>
      <c r="AJ218" s="121"/>
      <c r="AK218" s="121"/>
    </row>
    <row r="219" spans="2:37">
      <c r="B219" s="134"/>
      <c r="C219" s="57"/>
      <c r="D219" s="57"/>
      <c r="E219" s="57"/>
      <c r="F219" s="57"/>
      <c r="G219" s="57"/>
      <c r="H219" s="57"/>
      <c r="I219" s="57"/>
      <c r="J219" s="57"/>
      <c r="K219" s="57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1"/>
      <c r="AH219" s="121"/>
      <c r="AI219" s="121"/>
      <c r="AJ219" s="121"/>
      <c r="AK219" s="121"/>
    </row>
    <row r="220" spans="2:37">
      <c r="B220" s="134"/>
      <c r="C220" s="57"/>
      <c r="D220" s="57"/>
      <c r="E220" s="57"/>
      <c r="F220" s="57"/>
      <c r="G220" s="57"/>
      <c r="H220" s="57"/>
      <c r="I220" s="57"/>
      <c r="J220" s="57"/>
      <c r="K220" s="57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  <c r="AC220" s="121"/>
      <c r="AD220" s="121"/>
      <c r="AE220" s="121"/>
      <c r="AF220" s="121"/>
      <c r="AG220" s="121"/>
      <c r="AH220" s="121"/>
      <c r="AI220" s="121"/>
      <c r="AJ220" s="121"/>
      <c r="AK220" s="121"/>
    </row>
    <row r="221" spans="2:37">
      <c r="B221" s="134"/>
      <c r="C221" s="57"/>
      <c r="D221" s="57"/>
      <c r="E221" s="57"/>
      <c r="F221" s="57"/>
      <c r="G221" s="57"/>
      <c r="H221" s="57"/>
      <c r="I221" s="57"/>
      <c r="J221" s="57"/>
      <c r="K221" s="57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  <c r="AF221" s="121"/>
      <c r="AG221" s="121"/>
      <c r="AH221" s="121"/>
      <c r="AI221" s="121"/>
      <c r="AJ221" s="121"/>
      <c r="AK221" s="121"/>
    </row>
    <row r="222" spans="2:37">
      <c r="B222" s="134"/>
      <c r="C222" s="57"/>
      <c r="D222" s="57"/>
      <c r="E222" s="57"/>
      <c r="F222" s="57"/>
      <c r="G222" s="57"/>
      <c r="H222" s="57"/>
      <c r="I222" s="57"/>
      <c r="J222" s="57"/>
      <c r="K222" s="57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1"/>
      <c r="AH222" s="121"/>
      <c r="AI222" s="121"/>
      <c r="AJ222" s="121"/>
      <c r="AK222" s="121"/>
    </row>
    <row r="223" spans="2:37">
      <c r="B223" s="134"/>
      <c r="C223" s="57"/>
      <c r="D223" s="57"/>
      <c r="E223" s="57"/>
      <c r="F223" s="57"/>
      <c r="G223" s="57"/>
      <c r="H223" s="57"/>
      <c r="I223" s="57"/>
      <c r="J223" s="57"/>
      <c r="K223" s="57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1"/>
      <c r="AH223" s="121"/>
      <c r="AI223" s="121"/>
      <c r="AJ223" s="121"/>
      <c r="AK223" s="121"/>
    </row>
    <row r="224" spans="2:37">
      <c r="B224" s="134"/>
      <c r="C224" s="57"/>
      <c r="D224" s="57"/>
      <c r="E224" s="57"/>
      <c r="F224" s="57"/>
      <c r="G224" s="57"/>
      <c r="H224" s="57"/>
      <c r="I224" s="57"/>
      <c r="J224" s="57"/>
      <c r="K224" s="57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1"/>
      <c r="AH224" s="121"/>
      <c r="AI224" s="121"/>
      <c r="AJ224" s="121"/>
      <c r="AK224" s="121"/>
    </row>
    <row r="225" spans="2:37">
      <c r="B225" s="134"/>
      <c r="C225" s="57"/>
      <c r="D225" s="57"/>
      <c r="E225" s="57"/>
      <c r="F225" s="57"/>
      <c r="G225" s="57"/>
      <c r="H225" s="57"/>
      <c r="I225" s="57"/>
      <c r="J225" s="57"/>
      <c r="K225" s="57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1"/>
      <c r="AH225" s="121"/>
      <c r="AI225" s="121"/>
      <c r="AJ225" s="121"/>
      <c r="AK225" s="121"/>
    </row>
    <row r="226" spans="2:37">
      <c r="B226" s="134"/>
      <c r="C226" s="57"/>
      <c r="D226" s="57"/>
      <c r="E226" s="57"/>
      <c r="F226" s="57"/>
      <c r="G226" s="57"/>
      <c r="H226" s="57"/>
      <c r="I226" s="57"/>
      <c r="J226" s="57"/>
      <c r="K226" s="57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1"/>
      <c r="AH226" s="121"/>
      <c r="AI226" s="121"/>
      <c r="AJ226" s="121"/>
      <c r="AK226" s="121"/>
    </row>
    <row r="227" spans="2:37">
      <c r="B227" s="134"/>
      <c r="C227" s="57"/>
      <c r="D227" s="57"/>
      <c r="E227" s="57"/>
      <c r="F227" s="57"/>
      <c r="G227" s="57"/>
      <c r="H227" s="57"/>
      <c r="I227" s="57"/>
      <c r="J227" s="57"/>
      <c r="K227" s="57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1"/>
      <c r="AH227" s="121"/>
      <c r="AI227" s="121"/>
      <c r="AJ227" s="121"/>
      <c r="AK227" s="121"/>
    </row>
    <row r="228" spans="2:37">
      <c r="B228" s="134"/>
      <c r="C228" s="57"/>
      <c r="D228" s="57"/>
      <c r="E228" s="57"/>
      <c r="F228" s="57"/>
      <c r="G228" s="57"/>
      <c r="H228" s="57"/>
      <c r="I228" s="57"/>
      <c r="J228" s="57"/>
      <c r="K228" s="57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1"/>
      <c r="AH228" s="121"/>
      <c r="AI228" s="121"/>
      <c r="AJ228" s="121"/>
      <c r="AK228" s="121"/>
    </row>
    <row r="229" spans="2:37">
      <c r="B229" s="134"/>
      <c r="C229" s="57"/>
      <c r="D229" s="57"/>
      <c r="E229" s="57"/>
      <c r="F229" s="57"/>
      <c r="G229" s="57"/>
      <c r="H229" s="57"/>
      <c r="I229" s="57"/>
      <c r="J229" s="57"/>
      <c r="K229" s="57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1"/>
      <c r="AH229" s="121"/>
      <c r="AI229" s="121"/>
      <c r="AJ229" s="121"/>
      <c r="AK229" s="121"/>
    </row>
    <row r="230" spans="2:37">
      <c r="B230" s="134"/>
      <c r="C230" s="57"/>
      <c r="D230" s="57"/>
      <c r="E230" s="57"/>
      <c r="F230" s="57"/>
      <c r="G230" s="57"/>
      <c r="H230" s="57"/>
      <c r="I230" s="57"/>
      <c r="J230" s="57"/>
      <c r="K230" s="57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1"/>
      <c r="AH230" s="121"/>
      <c r="AI230" s="121"/>
      <c r="AJ230" s="121"/>
      <c r="AK230" s="121"/>
    </row>
    <row r="231" spans="2:37">
      <c r="B231" s="134"/>
      <c r="C231" s="57"/>
      <c r="D231" s="57"/>
      <c r="E231" s="57"/>
      <c r="F231" s="57"/>
      <c r="G231" s="57"/>
      <c r="H231" s="57"/>
      <c r="I231" s="57"/>
      <c r="J231" s="57"/>
      <c r="K231" s="57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  <c r="AC231" s="121"/>
      <c r="AD231" s="121"/>
      <c r="AE231" s="121"/>
      <c r="AF231" s="121"/>
      <c r="AG231" s="121"/>
      <c r="AH231" s="121"/>
      <c r="AI231" s="121"/>
      <c r="AJ231" s="121"/>
      <c r="AK231" s="121"/>
    </row>
    <row r="232" spans="2:37">
      <c r="B232" s="134"/>
      <c r="C232" s="57"/>
      <c r="D232" s="57"/>
      <c r="E232" s="57"/>
      <c r="F232" s="57"/>
      <c r="G232" s="57"/>
      <c r="H232" s="57"/>
      <c r="I232" s="57"/>
      <c r="J232" s="57"/>
      <c r="K232" s="57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  <c r="AC232" s="121"/>
      <c r="AD232" s="121"/>
      <c r="AE232" s="121"/>
      <c r="AF232" s="121"/>
      <c r="AG232" s="121"/>
      <c r="AH232" s="121"/>
      <c r="AI232" s="121"/>
      <c r="AJ232" s="121"/>
      <c r="AK232" s="121"/>
    </row>
    <row r="233" spans="2:37">
      <c r="B233" s="134"/>
      <c r="C233" s="57"/>
      <c r="D233" s="57"/>
      <c r="E233" s="57"/>
      <c r="F233" s="57"/>
      <c r="G233" s="57"/>
      <c r="H233" s="57"/>
      <c r="I233" s="57"/>
      <c r="J233" s="57"/>
      <c r="K233" s="57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  <c r="AC233" s="121"/>
      <c r="AD233" s="121"/>
      <c r="AE233" s="121"/>
      <c r="AF233" s="121"/>
      <c r="AG233" s="121"/>
      <c r="AH233" s="121"/>
      <c r="AI233" s="121"/>
      <c r="AJ233" s="121"/>
      <c r="AK233" s="121"/>
    </row>
    <row r="234" spans="2:37">
      <c r="B234" s="134"/>
      <c r="C234" s="57"/>
      <c r="D234" s="57"/>
      <c r="E234" s="57"/>
      <c r="F234" s="57"/>
      <c r="G234" s="57"/>
      <c r="H234" s="57"/>
      <c r="I234" s="57"/>
      <c r="J234" s="57"/>
      <c r="K234" s="57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</row>
    <row r="235" spans="2:37">
      <c r="B235" s="134"/>
      <c r="C235" s="57"/>
      <c r="D235" s="57"/>
      <c r="E235" s="57"/>
      <c r="F235" s="57"/>
      <c r="G235" s="57"/>
      <c r="H235" s="57"/>
      <c r="I235" s="57"/>
      <c r="J235" s="57"/>
      <c r="K235" s="57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</row>
    <row r="236" spans="2:37">
      <c r="B236" s="134"/>
      <c r="C236" s="57"/>
      <c r="D236" s="57"/>
      <c r="E236" s="57"/>
      <c r="F236" s="57"/>
      <c r="G236" s="57"/>
      <c r="H236" s="57"/>
      <c r="I236" s="57"/>
      <c r="J236" s="57"/>
      <c r="K236" s="57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  <c r="AC236" s="121"/>
      <c r="AD236" s="121"/>
      <c r="AE236" s="121"/>
      <c r="AF236" s="121"/>
      <c r="AG236" s="121"/>
      <c r="AH236" s="121"/>
      <c r="AI236" s="121"/>
      <c r="AJ236" s="121"/>
      <c r="AK236" s="121"/>
    </row>
    <row r="237" spans="2:37">
      <c r="B237" s="134"/>
      <c r="C237" s="57"/>
      <c r="D237" s="57"/>
      <c r="E237" s="57"/>
      <c r="F237" s="57"/>
      <c r="G237" s="57"/>
      <c r="H237" s="57"/>
      <c r="I237" s="57"/>
      <c r="J237" s="57"/>
      <c r="K237" s="57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1"/>
    </row>
    <row r="238" spans="2:37">
      <c r="B238" s="134"/>
      <c r="C238" s="57"/>
      <c r="D238" s="57"/>
      <c r="E238" s="57"/>
      <c r="F238" s="57"/>
      <c r="G238" s="57"/>
      <c r="H238" s="57"/>
      <c r="I238" s="57"/>
      <c r="J238" s="57"/>
      <c r="K238" s="57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</row>
    <row r="239" spans="2:37">
      <c r="B239" s="134"/>
      <c r="C239" s="57"/>
      <c r="D239" s="57"/>
      <c r="E239" s="57"/>
      <c r="F239" s="57"/>
      <c r="G239" s="57"/>
      <c r="H239" s="57"/>
      <c r="I239" s="57"/>
      <c r="J239" s="57"/>
      <c r="K239" s="57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</row>
    <row r="240" spans="2:37">
      <c r="B240" s="134"/>
      <c r="C240" s="57"/>
      <c r="D240" s="57"/>
      <c r="E240" s="57"/>
      <c r="F240" s="57"/>
      <c r="G240" s="57"/>
      <c r="H240" s="57"/>
      <c r="I240" s="57"/>
      <c r="J240" s="57"/>
      <c r="K240" s="57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</row>
    <row r="241" spans="2:37">
      <c r="B241" s="134"/>
      <c r="C241" s="57"/>
      <c r="D241" s="57"/>
      <c r="E241" s="57"/>
      <c r="F241" s="57"/>
      <c r="G241" s="57"/>
      <c r="H241" s="57"/>
      <c r="I241" s="57"/>
      <c r="J241" s="57"/>
      <c r="K241" s="57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</row>
    <row r="242" spans="2:37">
      <c r="B242" s="134"/>
      <c r="C242" s="57"/>
      <c r="D242" s="57"/>
      <c r="E242" s="57"/>
      <c r="F242" s="57"/>
      <c r="G242" s="57"/>
      <c r="H242" s="57"/>
      <c r="I242" s="57"/>
      <c r="J242" s="57"/>
      <c r="K242" s="57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</row>
    <row r="243" spans="2:37">
      <c r="B243" s="134"/>
      <c r="C243" s="57"/>
      <c r="D243" s="57"/>
      <c r="E243" s="57"/>
      <c r="F243" s="57"/>
      <c r="G243" s="57"/>
      <c r="H243" s="57"/>
      <c r="I243" s="57"/>
      <c r="J243" s="57"/>
      <c r="K243" s="57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</row>
    <row r="244" spans="2:37">
      <c r="B244" s="134"/>
      <c r="C244" s="57"/>
      <c r="D244" s="57"/>
      <c r="E244" s="57"/>
      <c r="F244" s="57"/>
      <c r="G244" s="57"/>
      <c r="H244" s="57"/>
      <c r="I244" s="57"/>
      <c r="J244" s="57"/>
      <c r="K244" s="57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</row>
    <row r="245" spans="2:37">
      <c r="B245" s="134"/>
      <c r="C245" s="57"/>
      <c r="D245" s="57"/>
      <c r="E245" s="57"/>
      <c r="F245" s="57"/>
      <c r="G245" s="57"/>
      <c r="H245" s="57"/>
      <c r="I245" s="57"/>
      <c r="J245" s="57"/>
      <c r="K245" s="57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</row>
    <row r="246" spans="2:37">
      <c r="B246" s="134"/>
      <c r="C246" s="57"/>
      <c r="D246" s="57"/>
      <c r="E246" s="57"/>
      <c r="F246" s="57"/>
      <c r="G246" s="57"/>
      <c r="H246" s="57"/>
      <c r="I246" s="57"/>
      <c r="J246" s="57"/>
      <c r="K246" s="57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</row>
    <row r="247" spans="2:37">
      <c r="B247" s="134"/>
      <c r="C247" s="57"/>
      <c r="D247" s="57"/>
      <c r="E247" s="57"/>
      <c r="F247" s="57"/>
      <c r="G247" s="57"/>
      <c r="H247" s="57"/>
      <c r="I247" s="57"/>
      <c r="J247" s="57"/>
      <c r="K247" s="57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</row>
    <row r="248" spans="2:37">
      <c r="B248" s="134"/>
      <c r="C248" s="57"/>
      <c r="D248" s="57"/>
      <c r="E248" s="57"/>
      <c r="F248" s="57"/>
      <c r="G248" s="57"/>
      <c r="H248" s="57"/>
      <c r="I248" s="57"/>
      <c r="J248" s="57"/>
      <c r="K248" s="57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  <c r="AC248" s="121"/>
      <c r="AD248" s="121"/>
      <c r="AE248" s="121"/>
      <c r="AF248" s="121"/>
      <c r="AG248" s="121"/>
      <c r="AH248" s="121"/>
      <c r="AI248" s="121"/>
      <c r="AJ248" s="121"/>
      <c r="AK248" s="121"/>
    </row>
    <row r="249" spans="2:37">
      <c r="B249" s="134"/>
      <c r="C249" s="57"/>
      <c r="D249" s="57"/>
      <c r="E249" s="57"/>
      <c r="F249" s="57"/>
      <c r="G249" s="57"/>
      <c r="H249" s="57"/>
      <c r="I249" s="57"/>
      <c r="J249" s="57"/>
      <c r="K249" s="57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  <c r="AC249" s="121"/>
      <c r="AD249" s="121"/>
      <c r="AE249" s="121"/>
      <c r="AF249" s="121"/>
      <c r="AG249" s="121"/>
      <c r="AH249" s="121"/>
      <c r="AI249" s="121"/>
      <c r="AJ249" s="121"/>
      <c r="AK249" s="121"/>
    </row>
    <row r="250" spans="2:37">
      <c r="B250" s="134"/>
      <c r="C250" s="57"/>
      <c r="D250" s="57"/>
      <c r="E250" s="57"/>
      <c r="F250" s="57"/>
      <c r="G250" s="57"/>
      <c r="H250" s="57"/>
      <c r="I250" s="57"/>
      <c r="J250" s="57"/>
      <c r="K250" s="57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  <c r="AC250" s="121"/>
      <c r="AD250" s="121"/>
      <c r="AE250" s="121"/>
      <c r="AF250" s="121"/>
      <c r="AG250" s="121"/>
      <c r="AH250" s="121"/>
      <c r="AI250" s="121"/>
      <c r="AJ250" s="121"/>
      <c r="AK250" s="121"/>
    </row>
    <row r="251" spans="2:37">
      <c r="B251" s="134"/>
      <c r="C251" s="57"/>
      <c r="D251" s="57"/>
      <c r="E251" s="57"/>
      <c r="F251" s="57"/>
      <c r="G251" s="57"/>
      <c r="H251" s="57"/>
      <c r="I251" s="57"/>
      <c r="J251" s="57"/>
      <c r="K251" s="57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  <c r="AC251" s="121"/>
      <c r="AD251" s="121"/>
      <c r="AE251" s="121"/>
      <c r="AF251" s="121"/>
      <c r="AG251" s="121"/>
      <c r="AH251" s="121"/>
      <c r="AI251" s="121"/>
      <c r="AJ251" s="121"/>
      <c r="AK251" s="121"/>
    </row>
    <row r="252" spans="2:37">
      <c r="B252" s="134"/>
      <c r="C252" s="57"/>
      <c r="D252" s="57"/>
      <c r="E252" s="57"/>
      <c r="F252" s="57"/>
      <c r="G252" s="57"/>
      <c r="H252" s="57"/>
      <c r="I252" s="57"/>
      <c r="J252" s="57"/>
      <c r="K252" s="57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  <c r="AC252" s="121"/>
      <c r="AD252" s="121"/>
      <c r="AE252" s="121"/>
      <c r="AF252" s="121"/>
      <c r="AG252" s="121"/>
      <c r="AH252" s="121"/>
      <c r="AI252" s="121"/>
      <c r="AJ252" s="121"/>
      <c r="AK252" s="121"/>
    </row>
    <row r="253" spans="2:37">
      <c r="B253" s="134"/>
      <c r="C253" s="57"/>
      <c r="D253" s="57"/>
      <c r="E253" s="57"/>
      <c r="F253" s="57"/>
      <c r="G253" s="57"/>
      <c r="H253" s="57"/>
      <c r="I253" s="57"/>
      <c r="J253" s="57"/>
      <c r="K253" s="57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  <c r="AC253" s="121"/>
      <c r="AD253" s="121"/>
      <c r="AE253" s="121"/>
      <c r="AF253" s="121"/>
      <c r="AG253" s="121"/>
      <c r="AH253" s="121"/>
      <c r="AI253" s="121"/>
      <c r="AJ253" s="121"/>
      <c r="AK253" s="121"/>
    </row>
    <row r="254" spans="2:37">
      <c r="B254" s="134"/>
      <c r="C254" s="57"/>
      <c r="D254" s="57"/>
      <c r="E254" s="57"/>
      <c r="F254" s="57"/>
      <c r="G254" s="57"/>
      <c r="H254" s="57"/>
      <c r="I254" s="57"/>
      <c r="J254" s="57"/>
      <c r="K254" s="57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  <c r="AC254" s="121"/>
      <c r="AD254" s="121"/>
      <c r="AE254" s="121"/>
      <c r="AF254" s="121"/>
      <c r="AG254" s="121"/>
      <c r="AH254" s="121"/>
      <c r="AI254" s="121"/>
      <c r="AJ254" s="121"/>
      <c r="AK254" s="121"/>
    </row>
    <row r="255" spans="2:37">
      <c r="B255" s="134"/>
      <c r="C255" s="57"/>
      <c r="D255" s="57"/>
      <c r="E255" s="57"/>
      <c r="F255" s="57"/>
      <c r="G255" s="57"/>
      <c r="H255" s="57"/>
      <c r="I255" s="57"/>
      <c r="J255" s="57"/>
      <c r="K255" s="57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  <c r="AC255" s="121"/>
      <c r="AD255" s="121"/>
      <c r="AE255" s="121"/>
      <c r="AF255" s="121"/>
      <c r="AG255" s="121"/>
      <c r="AH255" s="121"/>
      <c r="AI255" s="121"/>
      <c r="AJ255" s="121"/>
      <c r="AK255" s="121"/>
    </row>
    <row r="256" spans="2:37">
      <c r="B256" s="134"/>
      <c r="C256" s="57"/>
      <c r="D256" s="57"/>
      <c r="E256" s="57"/>
      <c r="F256" s="57"/>
      <c r="G256" s="57"/>
      <c r="H256" s="57"/>
      <c r="I256" s="57"/>
      <c r="J256" s="57"/>
      <c r="K256" s="57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  <c r="AC256" s="121"/>
      <c r="AD256" s="121"/>
      <c r="AE256" s="121"/>
      <c r="AF256" s="121"/>
      <c r="AG256" s="121"/>
      <c r="AH256" s="121"/>
      <c r="AI256" s="121"/>
      <c r="AJ256" s="121"/>
      <c r="AK256" s="121"/>
    </row>
    <row r="257" spans="2:37">
      <c r="B257" s="134"/>
      <c r="C257" s="57"/>
      <c r="D257" s="57"/>
      <c r="E257" s="57"/>
      <c r="F257" s="57"/>
      <c r="G257" s="57"/>
      <c r="H257" s="57"/>
      <c r="I257" s="57"/>
      <c r="J257" s="57"/>
      <c r="K257" s="57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  <c r="AC257" s="121"/>
      <c r="AD257" s="121"/>
      <c r="AE257" s="121"/>
      <c r="AF257" s="121"/>
      <c r="AG257" s="121"/>
      <c r="AH257" s="121"/>
      <c r="AI257" s="121"/>
      <c r="AJ257" s="121"/>
      <c r="AK257" s="121"/>
    </row>
    <row r="258" spans="2:37">
      <c r="B258" s="134"/>
      <c r="C258" s="57"/>
      <c r="D258" s="57"/>
      <c r="E258" s="57"/>
      <c r="F258" s="57"/>
      <c r="G258" s="57"/>
      <c r="H258" s="57"/>
      <c r="I258" s="57"/>
      <c r="J258" s="57"/>
      <c r="K258" s="57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  <c r="AC258" s="121"/>
      <c r="AD258" s="121"/>
      <c r="AE258" s="121"/>
      <c r="AF258" s="121"/>
      <c r="AG258" s="121"/>
      <c r="AH258" s="121"/>
      <c r="AI258" s="121"/>
      <c r="AJ258" s="121"/>
      <c r="AK258" s="121"/>
    </row>
    <row r="259" spans="2:37">
      <c r="B259" s="134"/>
      <c r="C259" s="57"/>
      <c r="D259" s="57"/>
      <c r="E259" s="57"/>
      <c r="F259" s="57"/>
      <c r="G259" s="57"/>
      <c r="H259" s="57"/>
      <c r="I259" s="57"/>
      <c r="J259" s="57"/>
      <c r="K259" s="57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121"/>
      <c r="AH259" s="121"/>
      <c r="AI259" s="121"/>
      <c r="AJ259" s="121"/>
      <c r="AK259" s="121"/>
    </row>
    <row r="260" spans="2:37">
      <c r="B260" s="134"/>
      <c r="C260" s="57"/>
      <c r="D260" s="57"/>
      <c r="E260" s="57"/>
      <c r="F260" s="57"/>
      <c r="G260" s="57"/>
      <c r="H260" s="57"/>
      <c r="I260" s="57"/>
      <c r="J260" s="57"/>
      <c r="K260" s="57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  <c r="AC260" s="121"/>
      <c r="AD260" s="121"/>
      <c r="AE260" s="121"/>
      <c r="AF260" s="121"/>
      <c r="AG260" s="121"/>
      <c r="AH260" s="121"/>
      <c r="AI260" s="121"/>
      <c r="AJ260" s="121"/>
      <c r="AK260" s="121"/>
    </row>
    <row r="261" spans="2:37">
      <c r="B261" s="134"/>
      <c r="C261" s="57"/>
      <c r="D261" s="57"/>
      <c r="E261" s="57"/>
      <c r="F261" s="57"/>
      <c r="G261" s="57"/>
      <c r="H261" s="57"/>
      <c r="I261" s="57"/>
      <c r="J261" s="57"/>
      <c r="K261" s="57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  <c r="AC261" s="121"/>
      <c r="AD261" s="121"/>
      <c r="AE261" s="121"/>
      <c r="AF261" s="121"/>
      <c r="AG261" s="121"/>
      <c r="AH261" s="121"/>
      <c r="AI261" s="121"/>
      <c r="AJ261" s="121"/>
      <c r="AK261" s="121"/>
    </row>
    <row r="262" spans="2:37">
      <c r="B262" s="134"/>
      <c r="C262" s="57"/>
      <c r="D262" s="57"/>
      <c r="E262" s="57"/>
      <c r="F262" s="57"/>
      <c r="G262" s="57"/>
      <c r="H262" s="57"/>
      <c r="I262" s="57"/>
      <c r="J262" s="57"/>
      <c r="K262" s="57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  <c r="AC262" s="121"/>
      <c r="AD262" s="121"/>
      <c r="AE262" s="121"/>
      <c r="AF262" s="121"/>
      <c r="AG262" s="121"/>
      <c r="AH262" s="121"/>
      <c r="AI262" s="121"/>
      <c r="AJ262" s="121"/>
      <c r="AK262" s="121"/>
    </row>
    <row r="263" spans="2:37">
      <c r="B263" s="134"/>
      <c r="C263" s="57"/>
      <c r="D263" s="57"/>
      <c r="E263" s="57"/>
      <c r="F263" s="57"/>
      <c r="G263" s="57"/>
      <c r="H263" s="57"/>
      <c r="I263" s="57"/>
      <c r="J263" s="57"/>
      <c r="K263" s="57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  <c r="AC263" s="121"/>
      <c r="AD263" s="121"/>
      <c r="AE263" s="121"/>
      <c r="AF263" s="121"/>
      <c r="AG263" s="121"/>
      <c r="AH263" s="121"/>
      <c r="AI263" s="121"/>
      <c r="AJ263" s="121"/>
      <c r="AK263" s="121"/>
    </row>
    <row r="264" spans="2:37">
      <c r="B264" s="134"/>
      <c r="C264" s="57"/>
      <c r="D264" s="57"/>
      <c r="E264" s="57"/>
      <c r="F264" s="57"/>
      <c r="G264" s="57"/>
      <c r="H264" s="57"/>
      <c r="I264" s="57"/>
      <c r="J264" s="57"/>
      <c r="K264" s="57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  <c r="AC264" s="121"/>
      <c r="AD264" s="121"/>
      <c r="AE264" s="121"/>
      <c r="AF264" s="121"/>
      <c r="AG264" s="121"/>
      <c r="AH264" s="121"/>
      <c r="AI264" s="121"/>
      <c r="AJ264" s="121"/>
      <c r="AK264" s="121"/>
    </row>
    <row r="265" spans="2:37">
      <c r="B265" s="134"/>
      <c r="C265" s="57"/>
      <c r="D265" s="57"/>
      <c r="E265" s="57"/>
      <c r="F265" s="57"/>
      <c r="G265" s="57"/>
      <c r="H265" s="57"/>
      <c r="I265" s="57"/>
      <c r="J265" s="57"/>
      <c r="K265" s="57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  <c r="AC265" s="121"/>
      <c r="AD265" s="121"/>
      <c r="AE265" s="121"/>
      <c r="AF265" s="121"/>
      <c r="AG265" s="121"/>
      <c r="AH265" s="121"/>
      <c r="AI265" s="121"/>
      <c r="AJ265" s="121"/>
      <c r="AK265" s="121"/>
    </row>
    <row r="266" spans="2:37">
      <c r="B266" s="134"/>
      <c r="C266" s="57"/>
      <c r="D266" s="57"/>
      <c r="E266" s="57"/>
      <c r="F266" s="57"/>
      <c r="G266" s="57"/>
      <c r="H266" s="57"/>
      <c r="I266" s="57"/>
      <c r="J266" s="57"/>
      <c r="K266" s="57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  <c r="AC266" s="121"/>
      <c r="AD266" s="121"/>
      <c r="AE266" s="121"/>
      <c r="AF266" s="121"/>
      <c r="AG266" s="121"/>
      <c r="AH266" s="121"/>
      <c r="AI266" s="121"/>
      <c r="AJ266" s="121"/>
      <c r="AK266" s="121"/>
    </row>
    <row r="267" spans="2:37">
      <c r="B267" s="134"/>
      <c r="C267" s="57"/>
      <c r="D267" s="57"/>
      <c r="E267" s="57"/>
      <c r="F267" s="57"/>
      <c r="G267" s="57"/>
      <c r="H267" s="57"/>
      <c r="I267" s="57"/>
      <c r="J267" s="57"/>
      <c r="K267" s="57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  <c r="AC267" s="121"/>
      <c r="AD267" s="121"/>
      <c r="AE267" s="121"/>
      <c r="AF267" s="121"/>
      <c r="AG267" s="121"/>
      <c r="AH267" s="121"/>
      <c r="AI267" s="121"/>
      <c r="AJ267" s="121"/>
      <c r="AK267" s="121"/>
    </row>
    <row r="268" spans="2:37">
      <c r="B268" s="134"/>
      <c r="C268" s="57"/>
      <c r="D268" s="57"/>
      <c r="E268" s="57"/>
      <c r="F268" s="57"/>
      <c r="G268" s="57"/>
      <c r="H268" s="57"/>
      <c r="I268" s="57"/>
      <c r="J268" s="57"/>
      <c r="K268" s="57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  <c r="AC268" s="121"/>
      <c r="AD268" s="121"/>
      <c r="AE268" s="121"/>
      <c r="AF268" s="121"/>
      <c r="AG268" s="121"/>
      <c r="AH268" s="121"/>
      <c r="AI268" s="121"/>
      <c r="AJ268" s="121"/>
      <c r="AK268" s="121"/>
    </row>
    <row r="269" spans="2:37">
      <c r="B269" s="134"/>
      <c r="C269" s="57"/>
      <c r="D269" s="57"/>
      <c r="E269" s="57"/>
      <c r="F269" s="57"/>
      <c r="G269" s="57"/>
      <c r="H269" s="57"/>
      <c r="I269" s="57"/>
      <c r="J269" s="57"/>
      <c r="K269" s="57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  <c r="AC269" s="121"/>
      <c r="AD269" s="121"/>
      <c r="AE269" s="121"/>
      <c r="AF269" s="121"/>
      <c r="AG269" s="121"/>
      <c r="AH269" s="121"/>
      <c r="AI269" s="121"/>
      <c r="AJ269" s="121"/>
      <c r="AK269" s="121"/>
    </row>
    <row r="270" spans="2:37">
      <c r="B270" s="134"/>
      <c r="C270" s="57"/>
      <c r="D270" s="57"/>
      <c r="E270" s="57"/>
      <c r="F270" s="57"/>
      <c r="G270" s="57"/>
      <c r="H270" s="57"/>
      <c r="I270" s="57"/>
      <c r="J270" s="57"/>
      <c r="K270" s="57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  <c r="AC270" s="121"/>
      <c r="AD270" s="121"/>
      <c r="AE270" s="121"/>
      <c r="AF270" s="121"/>
      <c r="AG270" s="121"/>
      <c r="AH270" s="121"/>
      <c r="AI270" s="121"/>
      <c r="AJ270" s="121"/>
      <c r="AK270" s="121"/>
    </row>
    <row r="271" spans="2:37">
      <c r="B271" s="134"/>
      <c r="C271" s="57"/>
      <c r="D271" s="57"/>
      <c r="E271" s="57"/>
      <c r="F271" s="57"/>
      <c r="G271" s="57"/>
      <c r="H271" s="57"/>
      <c r="I271" s="57"/>
      <c r="J271" s="57"/>
      <c r="K271" s="57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  <c r="AC271" s="121"/>
      <c r="AD271" s="121"/>
      <c r="AE271" s="121"/>
      <c r="AF271" s="121"/>
      <c r="AG271" s="121"/>
      <c r="AH271" s="121"/>
      <c r="AI271" s="121"/>
      <c r="AJ271" s="121"/>
      <c r="AK271" s="121"/>
    </row>
    <row r="272" spans="2:37">
      <c r="B272" s="134"/>
      <c r="C272" s="57"/>
      <c r="D272" s="57"/>
      <c r="E272" s="57"/>
      <c r="F272" s="57"/>
      <c r="G272" s="57"/>
      <c r="H272" s="57"/>
      <c r="I272" s="57"/>
      <c r="J272" s="57"/>
      <c r="K272" s="57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</row>
    <row r="273" spans="2:37">
      <c r="B273" s="134"/>
      <c r="C273" s="57"/>
      <c r="D273" s="57"/>
      <c r="E273" s="57"/>
      <c r="F273" s="57"/>
      <c r="G273" s="57"/>
      <c r="H273" s="57"/>
      <c r="I273" s="57"/>
      <c r="J273" s="57"/>
      <c r="K273" s="57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</row>
    <row r="274" spans="2:37">
      <c r="B274" s="134"/>
      <c r="C274" s="57"/>
      <c r="D274" s="57"/>
      <c r="E274" s="57"/>
      <c r="F274" s="57"/>
      <c r="G274" s="57"/>
      <c r="H274" s="57"/>
      <c r="I274" s="57"/>
      <c r="J274" s="57"/>
      <c r="K274" s="57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1"/>
      <c r="AH274" s="121"/>
      <c r="AI274" s="121"/>
      <c r="AJ274" s="121"/>
      <c r="AK274" s="121"/>
    </row>
    <row r="275" spans="2:37">
      <c r="B275" s="134"/>
      <c r="C275" s="57"/>
      <c r="D275" s="57"/>
      <c r="E275" s="57"/>
      <c r="F275" s="57"/>
      <c r="G275" s="57"/>
      <c r="H275" s="57"/>
      <c r="I275" s="57"/>
      <c r="J275" s="57"/>
      <c r="K275" s="57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1"/>
    </row>
    <row r="276" spans="2:37">
      <c r="B276" s="134"/>
      <c r="C276" s="57"/>
      <c r="D276" s="57"/>
      <c r="E276" s="57"/>
      <c r="F276" s="57"/>
      <c r="G276" s="57"/>
      <c r="H276" s="57"/>
      <c r="I276" s="57"/>
      <c r="J276" s="57"/>
      <c r="K276" s="57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</row>
    <row r="277" spans="2:37">
      <c r="B277" s="134"/>
      <c r="C277" s="57"/>
      <c r="D277" s="57"/>
      <c r="E277" s="57"/>
      <c r="F277" s="57"/>
      <c r="G277" s="57"/>
      <c r="H277" s="57"/>
      <c r="I277" s="57"/>
      <c r="J277" s="57"/>
      <c r="K277" s="57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</row>
    <row r="278" spans="2:37">
      <c r="B278" s="134"/>
      <c r="C278" s="57"/>
      <c r="D278" s="57"/>
      <c r="E278" s="57"/>
      <c r="F278" s="57"/>
      <c r="G278" s="57"/>
      <c r="H278" s="57"/>
      <c r="I278" s="57"/>
      <c r="J278" s="57"/>
      <c r="K278" s="57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</row>
    <row r="279" spans="2:37">
      <c r="B279" s="134"/>
      <c r="C279" s="57"/>
      <c r="D279" s="57"/>
      <c r="E279" s="57"/>
      <c r="F279" s="57"/>
      <c r="G279" s="57"/>
      <c r="H279" s="57"/>
      <c r="I279" s="57"/>
      <c r="J279" s="57"/>
      <c r="K279" s="57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</row>
    <row r="280" spans="2:37">
      <c r="B280" s="134"/>
      <c r="C280" s="57"/>
      <c r="D280" s="57"/>
      <c r="E280" s="57"/>
      <c r="F280" s="57"/>
      <c r="G280" s="57"/>
      <c r="H280" s="57"/>
      <c r="I280" s="57"/>
      <c r="J280" s="57"/>
      <c r="K280" s="57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</row>
    <row r="281" spans="2:37">
      <c r="B281" s="134"/>
      <c r="C281" s="57"/>
      <c r="D281" s="57"/>
      <c r="E281" s="57"/>
      <c r="F281" s="57"/>
      <c r="G281" s="57"/>
      <c r="H281" s="57"/>
      <c r="I281" s="57"/>
      <c r="J281" s="57"/>
      <c r="K281" s="57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</row>
    <row r="282" spans="2:37">
      <c r="B282" s="134"/>
      <c r="C282" s="57"/>
      <c r="D282" s="57"/>
      <c r="E282" s="57"/>
      <c r="F282" s="57"/>
      <c r="G282" s="57"/>
      <c r="H282" s="57"/>
      <c r="I282" s="57"/>
      <c r="J282" s="57"/>
      <c r="K282" s="57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</row>
    <row r="283" spans="2:37">
      <c r="B283" s="134"/>
      <c r="C283" s="57"/>
      <c r="D283" s="57"/>
      <c r="E283" s="57"/>
      <c r="F283" s="57"/>
      <c r="G283" s="57"/>
      <c r="H283" s="57"/>
      <c r="I283" s="57"/>
      <c r="J283" s="57"/>
      <c r="K283" s="57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</row>
    <row r="284" spans="2:37">
      <c r="B284" s="134"/>
      <c r="C284" s="57"/>
      <c r="D284" s="57"/>
      <c r="E284" s="57"/>
      <c r="F284" s="57"/>
      <c r="G284" s="57"/>
      <c r="H284" s="57"/>
      <c r="I284" s="57"/>
      <c r="J284" s="57"/>
      <c r="K284" s="57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</row>
    <row r="285" spans="2:37">
      <c r="B285" s="134"/>
      <c r="C285" s="57"/>
      <c r="D285" s="57"/>
      <c r="E285" s="57"/>
      <c r="F285" s="57"/>
      <c r="G285" s="57"/>
      <c r="H285" s="57"/>
      <c r="I285" s="57"/>
      <c r="J285" s="57"/>
      <c r="K285" s="57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</row>
    <row r="286" spans="2:37">
      <c r="B286" s="134"/>
      <c r="C286" s="57"/>
      <c r="D286" s="57"/>
      <c r="E286" s="57"/>
      <c r="F286" s="57"/>
      <c r="G286" s="57"/>
      <c r="H286" s="57"/>
      <c r="I286" s="57"/>
      <c r="J286" s="57"/>
      <c r="K286" s="57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  <c r="AC286" s="121"/>
      <c r="AD286" s="121"/>
      <c r="AE286" s="121"/>
      <c r="AF286" s="121"/>
      <c r="AG286" s="121"/>
      <c r="AH286" s="121"/>
      <c r="AI286" s="121"/>
      <c r="AJ286" s="121"/>
      <c r="AK286" s="121"/>
    </row>
    <row r="287" spans="2:37">
      <c r="B287" s="134"/>
      <c r="C287" s="57"/>
      <c r="D287" s="57"/>
      <c r="E287" s="57"/>
      <c r="F287" s="57"/>
      <c r="G287" s="57"/>
      <c r="H287" s="57"/>
      <c r="I287" s="57"/>
      <c r="J287" s="57"/>
      <c r="K287" s="57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  <c r="AC287" s="121"/>
      <c r="AD287" s="121"/>
      <c r="AE287" s="121"/>
      <c r="AF287" s="121"/>
      <c r="AG287" s="121"/>
      <c r="AH287" s="121"/>
      <c r="AI287" s="121"/>
      <c r="AJ287" s="121"/>
      <c r="AK287" s="121"/>
    </row>
    <row r="288" spans="2:37">
      <c r="B288" s="134"/>
      <c r="C288" s="57"/>
      <c r="D288" s="57"/>
      <c r="E288" s="57"/>
      <c r="F288" s="57"/>
      <c r="G288" s="57"/>
      <c r="H288" s="57"/>
      <c r="I288" s="57"/>
      <c r="J288" s="57"/>
      <c r="K288" s="57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  <c r="AC288" s="121"/>
      <c r="AD288" s="121"/>
      <c r="AE288" s="121"/>
      <c r="AF288" s="121"/>
      <c r="AG288" s="121"/>
      <c r="AH288" s="121"/>
      <c r="AI288" s="121"/>
      <c r="AJ288" s="121"/>
      <c r="AK288" s="121"/>
    </row>
    <row r="289" spans="2:37">
      <c r="B289" s="134"/>
      <c r="C289" s="57"/>
      <c r="D289" s="57"/>
      <c r="E289" s="57"/>
      <c r="F289" s="57"/>
      <c r="G289" s="57"/>
      <c r="H289" s="57"/>
      <c r="I289" s="57"/>
      <c r="J289" s="57"/>
      <c r="K289" s="57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  <c r="AC289" s="121"/>
      <c r="AD289" s="121"/>
      <c r="AE289" s="121"/>
      <c r="AF289" s="121"/>
      <c r="AG289" s="121"/>
      <c r="AH289" s="121"/>
      <c r="AI289" s="121"/>
      <c r="AJ289" s="121"/>
      <c r="AK289" s="121"/>
    </row>
    <row r="290" spans="2:37">
      <c r="B290" s="134"/>
      <c r="C290" s="57"/>
      <c r="D290" s="57"/>
      <c r="E290" s="57"/>
      <c r="F290" s="57"/>
      <c r="G290" s="57"/>
      <c r="H290" s="57"/>
      <c r="I290" s="57"/>
      <c r="J290" s="57"/>
      <c r="K290" s="57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  <c r="AC290" s="121"/>
      <c r="AD290" s="121"/>
      <c r="AE290" s="121"/>
      <c r="AF290" s="121"/>
      <c r="AG290" s="121"/>
      <c r="AH290" s="121"/>
      <c r="AI290" s="121"/>
      <c r="AJ290" s="121"/>
      <c r="AK290" s="121"/>
    </row>
    <row r="291" spans="2:37">
      <c r="B291" s="134"/>
      <c r="C291" s="57"/>
      <c r="D291" s="57"/>
      <c r="E291" s="57"/>
      <c r="F291" s="57"/>
      <c r="G291" s="57"/>
      <c r="H291" s="57"/>
      <c r="I291" s="57"/>
      <c r="J291" s="57"/>
      <c r="K291" s="57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  <c r="AC291" s="121"/>
      <c r="AD291" s="121"/>
      <c r="AE291" s="121"/>
      <c r="AF291" s="121"/>
      <c r="AG291" s="121"/>
      <c r="AH291" s="121"/>
      <c r="AI291" s="121"/>
      <c r="AJ291" s="121"/>
      <c r="AK291" s="121"/>
    </row>
    <row r="292" spans="2:37">
      <c r="B292" s="134"/>
      <c r="C292" s="57"/>
      <c r="D292" s="57"/>
      <c r="E292" s="57"/>
      <c r="F292" s="57"/>
      <c r="G292" s="57"/>
      <c r="H292" s="57"/>
      <c r="I292" s="57"/>
      <c r="J292" s="57"/>
      <c r="K292" s="57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  <c r="AC292" s="121"/>
      <c r="AD292" s="121"/>
      <c r="AE292" s="121"/>
      <c r="AF292" s="121"/>
      <c r="AG292" s="121"/>
      <c r="AH292" s="121"/>
      <c r="AI292" s="121"/>
      <c r="AJ292" s="121"/>
      <c r="AK292" s="121"/>
    </row>
    <row r="293" spans="2:37">
      <c r="B293" s="134"/>
      <c r="C293" s="57"/>
      <c r="D293" s="57"/>
      <c r="E293" s="57"/>
      <c r="F293" s="57"/>
      <c r="G293" s="57"/>
      <c r="H293" s="57"/>
      <c r="I293" s="57"/>
      <c r="J293" s="57"/>
      <c r="K293" s="57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  <c r="AC293" s="121"/>
      <c r="AD293" s="121"/>
      <c r="AE293" s="121"/>
      <c r="AF293" s="121"/>
      <c r="AG293" s="121"/>
      <c r="AH293" s="121"/>
      <c r="AI293" s="121"/>
      <c r="AJ293" s="121"/>
      <c r="AK293" s="121"/>
    </row>
    <row r="294" spans="2:37">
      <c r="B294" s="134"/>
      <c r="C294" s="57"/>
      <c r="D294" s="57"/>
      <c r="E294" s="57"/>
      <c r="F294" s="57"/>
      <c r="G294" s="57"/>
      <c r="H294" s="57"/>
      <c r="I294" s="57"/>
      <c r="J294" s="57"/>
      <c r="K294" s="57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  <c r="AC294" s="121"/>
      <c r="AD294" s="121"/>
      <c r="AE294" s="121"/>
      <c r="AF294" s="121"/>
      <c r="AG294" s="121"/>
      <c r="AH294" s="121"/>
      <c r="AI294" s="121"/>
      <c r="AJ294" s="121"/>
      <c r="AK294" s="121"/>
    </row>
    <row r="295" spans="2:37">
      <c r="B295" s="134"/>
      <c r="C295" s="57"/>
      <c r="D295" s="57"/>
      <c r="E295" s="57"/>
      <c r="F295" s="57"/>
      <c r="G295" s="57"/>
      <c r="H295" s="57"/>
      <c r="I295" s="57"/>
      <c r="J295" s="57"/>
      <c r="K295" s="57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  <c r="AC295" s="121"/>
      <c r="AD295" s="121"/>
      <c r="AE295" s="121"/>
      <c r="AF295" s="121"/>
      <c r="AG295" s="121"/>
      <c r="AH295" s="121"/>
      <c r="AI295" s="121"/>
      <c r="AJ295" s="121"/>
      <c r="AK295" s="121"/>
    </row>
    <row r="296" spans="2:37">
      <c r="B296" s="134"/>
      <c r="C296" s="57"/>
      <c r="D296" s="57"/>
      <c r="E296" s="57"/>
      <c r="F296" s="57"/>
      <c r="G296" s="57"/>
      <c r="H296" s="57"/>
      <c r="I296" s="57"/>
      <c r="J296" s="57"/>
      <c r="K296" s="57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  <c r="AC296" s="121"/>
      <c r="AD296" s="121"/>
      <c r="AE296" s="121"/>
      <c r="AF296" s="121"/>
      <c r="AG296" s="121"/>
      <c r="AH296" s="121"/>
      <c r="AI296" s="121"/>
      <c r="AJ296" s="121"/>
      <c r="AK296" s="121"/>
    </row>
    <row r="297" spans="2:37">
      <c r="B297" s="134"/>
      <c r="C297" s="57"/>
      <c r="D297" s="57"/>
      <c r="E297" s="57"/>
      <c r="F297" s="57"/>
      <c r="G297" s="57"/>
      <c r="H297" s="57"/>
      <c r="I297" s="57"/>
      <c r="J297" s="57"/>
      <c r="K297" s="57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  <c r="AC297" s="121"/>
      <c r="AD297" s="121"/>
      <c r="AE297" s="121"/>
      <c r="AF297" s="121"/>
      <c r="AG297" s="121"/>
      <c r="AH297" s="121"/>
      <c r="AI297" s="121"/>
      <c r="AJ297" s="121"/>
      <c r="AK297" s="121"/>
    </row>
    <row r="298" spans="2:37">
      <c r="B298" s="134"/>
      <c r="C298" s="57"/>
      <c r="D298" s="57"/>
      <c r="E298" s="57"/>
      <c r="F298" s="57"/>
      <c r="G298" s="57"/>
      <c r="H298" s="57"/>
      <c r="I298" s="57"/>
      <c r="J298" s="57"/>
      <c r="K298" s="57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  <c r="AC298" s="121"/>
      <c r="AD298" s="121"/>
      <c r="AE298" s="121"/>
      <c r="AF298" s="121"/>
      <c r="AG298" s="121"/>
      <c r="AH298" s="121"/>
      <c r="AI298" s="121"/>
      <c r="AJ298" s="121"/>
      <c r="AK298" s="121"/>
    </row>
    <row r="299" spans="2:37">
      <c r="B299" s="134"/>
      <c r="C299" s="57"/>
      <c r="D299" s="57"/>
      <c r="E299" s="57"/>
      <c r="F299" s="57"/>
      <c r="G299" s="57"/>
      <c r="H299" s="57"/>
      <c r="I299" s="57"/>
      <c r="J299" s="57"/>
      <c r="K299" s="57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  <c r="AC299" s="121"/>
      <c r="AD299" s="121"/>
      <c r="AE299" s="121"/>
      <c r="AF299" s="121"/>
      <c r="AG299" s="121"/>
      <c r="AH299" s="121"/>
      <c r="AI299" s="121"/>
      <c r="AJ299" s="121"/>
      <c r="AK299" s="121"/>
    </row>
    <row r="300" spans="2:37">
      <c r="B300" s="134"/>
      <c r="C300" s="57"/>
      <c r="D300" s="57"/>
      <c r="E300" s="57"/>
      <c r="F300" s="57"/>
      <c r="G300" s="57"/>
      <c r="H300" s="57"/>
      <c r="I300" s="57"/>
      <c r="J300" s="57"/>
      <c r="K300" s="57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  <c r="AC300" s="121"/>
      <c r="AD300" s="121"/>
      <c r="AE300" s="121"/>
      <c r="AF300" s="121"/>
      <c r="AG300" s="121"/>
      <c r="AH300" s="121"/>
      <c r="AI300" s="121"/>
      <c r="AJ300" s="121"/>
      <c r="AK300" s="121"/>
    </row>
    <row r="301" spans="2:37">
      <c r="B301" s="134"/>
      <c r="C301" s="57"/>
      <c r="D301" s="57"/>
      <c r="E301" s="57"/>
      <c r="F301" s="57"/>
      <c r="G301" s="57"/>
      <c r="H301" s="57"/>
      <c r="I301" s="57"/>
      <c r="J301" s="57"/>
      <c r="K301" s="57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  <c r="AC301" s="121"/>
      <c r="AD301" s="121"/>
      <c r="AE301" s="121"/>
      <c r="AF301" s="121"/>
      <c r="AG301" s="121"/>
      <c r="AH301" s="121"/>
      <c r="AI301" s="121"/>
      <c r="AJ301" s="121"/>
      <c r="AK301" s="121"/>
    </row>
    <row r="302" spans="2:37">
      <c r="B302" s="134"/>
      <c r="C302" s="57"/>
      <c r="D302" s="57"/>
      <c r="E302" s="57"/>
      <c r="F302" s="57"/>
      <c r="G302" s="57"/>
      <c r="H302" s="57"/>
      <c r="I302" s="57"/>
      <c r="J302" s="57"/>
      <c r="K302" s="57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  <c r="AC302" s="121"/>
      <c r="AD302" s="121"/>
      <c r="AE302" s="121"/>
      <c r="AF302" s="121"/>
      <c r="AG302" s="121"/>
      <c r="AH302" s="121"/>
      <c r="AI302" s="121"/>
      <c r="AJ302" s="121"/>
      <c r="AK302" s="121"/>
    </row>
    <row r="303" spans="2:37">
      <c r="B303" s="134"/>
      <c r="C303" s="57"/>
      <c r="D303" s="57"/>
      <c r="E303" s="57"/>
      <c r="F303" s="57"/>
      <c r="G303" s="57"/>
      <c r="H303" s="57"/>
      <c r="I303" s="57"/>
      <c r="J303" s="57"/>
      <c r="K303" s="57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  <c r="AB303" s="121"/>
      <c r="AC303" s="121"/>
      <c r="AD303" s="121"/>
      <c r="AE303" s="121"/>
      <c r="AF303" s="121"/>
      <c r="AG303" s="121"/>
      <c r="AH303" s="121"/>
      <c r="AI303" s="121"/>
      <c r="AJ303" s="121"/>
      <c r="AK303" s="121"/>
    </row>
    <row r="304" spans="2:37">
      <c r="B304" s="134"/>
      <c r="C304" s="57"/>
      <c r="D304" s="57"/>
      <c r="E304" s="57"/>
      <c r="F304" s="57"/>
      <c r="G304" s="57"/>
      <c r="H304" s="57"/>
      <c r="I304" s="57"/>
      <c r="J304" s="57"/>
      <c r="K304" s="57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  <c r="AC304" s="121"/>
      <c r="AD304" s="121"/>
      <c r="AE304" s="121"/>
      <c r="AF304" s="121"/>
      <c r="AG304" s="121"/>
      <c r="AH304" s="121"/>
      <c r="AI304" s="121"/>
      <c r="AJ304" s="121"/>
      <c r="AK304" s="121"/>
    </row>
    <row r="305" spans="2:37">
      <c r="B305" s="134"/>
      <c r="C305" s="57"/>
      <c r="D305" s="57"/>
      <c r="E305" s="57"/>
      <c r="F305" s="57"/>
      <c r="G305" s="57"/>
      <c r="H305" s="57"/>
      <c r="I305" s="57"/>
      <c r="J305" s="57"/>
      <c r="K305" s="57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  <c r="AC305" s="121"/>
      <c r="AD305" s="121"/>
      <c r="AE305" s="121"/>
      <c r="AF305" s="121"/>
      <c r="AG305" s="121"/>
      <c r="AH305" s="121"/>
      <c r="AI305" s="121"/>
      <c r="AJ305" s="121"/>
      <c r="AK305" s="121"/>
    </row>
    <row r="306" spans="2:37">
      <c r="B306" s="134"/>
      <c r="C306" s="57"/>
      <c r="D306" s="57"/>
      <c r="E306" s="57"/>
      <c r="F306" s="57"/>
      <c r="G306" s="57"/>
      <c r="H306" s="57"/>
      <c r="I306" s="57"/>
      <c r="J306" s="57"/>
      <c r="K306" s="57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  <c r="AC306" s="121"/>
      <c r="AD306" s="121"/>
      <c r="AE306" s="121"/>
      <c r="AF306" s="121"/>
      <c r="AG306" s="121"/>
      <c r="AH306" s="121"/>
      <c r="AI306" s="121"/>
      <c r="AJ306" s="121"/>
      <c r="AK306" s="121"/>
    </row>
    <row r="307" spans="2:37">
      <c r="B307" s="134"/>
      <c r="C307" s="57"/>
      <c r="D307" s="57"/>
      <c r="E307" s="57"/>
      <c r="F307" s="57"/>
      <c r="G307" s="57"/>
      <c r="H307" s="57"/>
      <c r="I307" s="57"/>
      <c r="J307" s="57"/>
      <c r="K307" s="57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  <c r="AC307" s="121"/>
      <c r="AD307" s="121"/>
      <c r="AE307" s="121"/>
      <c r="AF307" s="121"/>
      <c r="AG307" s="121"/>
      <c r="AH307" s="121"/>
      <c r="AI307" s="121"/>
      <c r="AJ307" s="121"/>
      <c r="AK307" s="121"/>
    </row>
    <row r="308" spans="2:37">
      <c r="B308" s="134"/>
      <c r="C308" s="57"/>
      <c r="D308" s="57"/>
      <c r="E308" s="57"/>
      <c r="F308" s="57"/>
      <c r="G308" s="57"/>
      <c r="H308" s="57"/>
      <c r="I308" s="57"/>
      <c r="J308" s="57"/>
      <c r="K308" s="57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  <c r="AC308" s="121"/>
      <c r="AD308" s="121"/>
      <c r="AE308" s="121"/>
      <c r="AF308" s="121"/>
      <c r="AG308" s="121"/>
      <c r="AH308" s="121"/>
      <c r="AI308" s="121"/>
      <c r="AJ308" s="121"/>
      <c r="AK308" s="121"/>
    </row>
    <row r="309" spans="2:37">
      <c r="B309" s="134"/>
      <c r="C309" s="57"/>
      <c r="D309" s="57"/>
      <c r="E309" s="57"/>
      <c r="F309" s="57"/>
      <c r="G309" s="57"/>
      <c r="H309" s="57"/>
      <c r="I309" s="57"/>
      <c r="J309" s="57"/>
      <c r="K309" s="57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  <c r="AC309" s="121"/>
      <c r="AD309" s="121"/>
      <c r="AE309" s="121"/>
      <c r="AF309" s="121"/>
      <c r="AG309" s="121"/>
      <c r="AH309" s="121"/>
      <c r="AI309" s="121"/>
      <c r="AJ309" s="121"/>
      <c r="AK309" s="121"/>
    </row>
    <row r="310" spans="2:37">
      <c r="B310" s="134"/>
      <c r="C310" s="57"/>
      <c r="D310" s="57"/>
      <c r="E310" s="57"/>
      <c r="F310" s="57"/>
      <c r="G310" s="57"/>
      <c r="H310" s="57"/>
      <c r="I310" s="57"/>
      <c r="J310" s="57"/>
      <c r="K310" s="57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</row>
    <row r="311" spans="2:37">
      <c r="B311" s="134"/>
      <c r="C311" s="57"/>
      <c r="D311" s="57"/>
      <c r="E311" s="57"/>
      <c r="F311" s="57"/>
      <c r="G311" s="57"/>
      <c r="H311" s="57"/>
      <c r="I311" s="57"/>
      <c r="J311" s="57"/>
      <c r="K311" s="57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</row>
    <row r="312" spans="2:37">
      <c r="B312" s="134"/>
      <c r="C312" s="57"/>
      <c r="D312" s="57"/>
      <c r="E312" s="57"/>
      <c r="F312" s="57"/>
      <c r="G312" s="57"/>
      <c r="H312" s="57"/>
      <c r="I312" s="57"/>
      <c r="J312" s="57"/>
      <c r="K312" s="57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  <c r="AC312" s="121"/>
      <c r="AD312" s="121"/>
      <c r="AE312" s="121"/>
      <c r="AF312" s="121"/>
      <c r="AG312" s="121"/>
      <c r="AH312" s="121"/>
      <c r="AI312" s="121"/>
      <c r="AJ312" s="121"/>
      <c r="AK312" s="121"/>
    </row>
    <row r="313" spans="2:37">
      <c r="B313" s="134"/>
      <c r="C313" s="57"/>
      <c r="D313" s="57"/>
      <c r="E313" s="57"/>
      <c r="F313" s="57"/>
      <c r="G313" s="57"/>
      <c r="H313" s="57"/>
      <c r="I313" s="57"/>
      <c r="J313" s="57"/>
      <c r="K313" s="57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1"/>
    </row>
    <row r="314" spans="2:37">
      <c r="B314" s="134"/>
      <c r="C314" s="57"/>
      <c r="D314" s="57"/>
      <c r="E314" s="57"/>
      <c r="F314" s="57"/>
      <c r="G314" s="57"/>
      <c r="H314" s="57"/>
      <c r="I314" s="57"/>
      <c r="J314" s="57"/>
      <c r="K314" s="57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</row>
    <row r="315" spans="2:37">
      <c r="B315" s="134"/>
      <c r="C315" s="57"/>
      <c r="D315" s="57"/>
      <c r="E315" s="57"/>
      <c r="F315" s="57"/>
      <c r="G315" s="57"/>
      <c r="H315" s="57"/>
      <c r="I315" s="57"/>
      <c r="J315" s="57"/>
      <c r="K315" s="57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</row>
    <row r="316" spans="2:37">
      <c r="B316" s="134"/>
      <c r="C316" s="57"/>
      <c r="D316" s="57"/>
      <c r="E316" s="57"/>
      <c r="F316" s="57"/>
      <c r="G316" s="57"/>
      <c r="H316" s="57"/>
      <c r="I316" s="57"/>
      <c r="J316" s="57"/>
      <c r="K316" s="57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</row>
    <row r="317" spans="2:37">
      <c r="B317" s="134"/>
      <c r="C317" s="57"/>
      <c r="D317" s="57"/>
      <c r="E317" s="57"/>
      <c r="F317" s="57"/>
      <c r="G317" s="57"/>
      <c r="H317" s="57"/>
      <c r="I317" s="57"/>
      <c r="J317" s="57"/>
      <c r="K317" s="57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</row>
    <row r="318" spans="2:37">
      <c r="B318" s="134"/>
      <c r="C318" s="57"/>
      <c r="D318" s="57"/>
      <c r="E318" s="57"/>
      <c r="F318" s="57"/>
      <c r="G318" s="57"/>
      <c r="H318" s="57"/>
      <c r="I318" s="57"/>
      <c r="J318" s="57"/>
      <c r="K318" s="57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</row>
    <row r="319" spans="2:37">
      <c r="B319" s="134"/>
      <c r="C319" s="57"/>
      <c r="D319" s="57"/>
      <c r="E319" s="57"/>
      <c r="F319" s="57"/>
      <c r="G319" s="57"/>
      <c r="H319" s="57"/>
      <c r="I319" s="57"/>
      <c r="J319" s="57"/>
      <c r="K319" s="57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</row>
    <row r="320" spans="2:37">
      <c r="B320" s="134"/>
      <c r="C320" s="57"/>
      <c r="D320" s="57"/>
      <c r="E320" s="57"/>
      <c r="F320" s="57"/>
      <c r="G320" s="57"/>
      <c r="H320" s="57"/>
      <c r="I320" s="57"/>
      <c r="J320" s="57"/>
      <c r="K320" s="57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</row>
    <row r="321" spans="2:37">
      <c r="B321" s="134"/>
      <c r="C321" s="57"/>
      <c r="D321" s="57"/>
      <c r="E321" s="57"/>
      <c r="F321" s="57"/>
      <c r="G321" s="57"/>
      <c r="H321" s="57"/>
      <c r="I321" s="57"/>
      <c r="J321" s="57"/>
      <c r="K321" s="57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</row>
    <row r="322" spans="2:37">
      <c r="B322" s="134"/>
      <c r="C322" s="57"/>
      <c r="D322" s="57"/>
      <c r="E322" s="57"/>
      <c r="F322" s="57"/>
      <c r="G322" s="57"/>
      <c r="H322" s="57"/>
      <c r="I322" s="57"/>
      <c r="J322" s="57"/>
      <c r="K322" s="57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</row>
    <row r="323" spans="2:37">
      <c r="B323" s="134"/>
      <c r="C323" s="57"/>
      <c r="D323" s="57"/>
      <c r="E323" s="57"/>
      <c r="F323" s="57"/>
      <c r="G323" s="57"/>
      <c r="H323" s="57"/>
      <c r="I323" s="57"/>
      <c r="J323" s="57"/>
      <c r="K323" s="57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</row>
    <row r="324" spans="2:37">
      <c r="B324" s="134"/>
      <c r="C324" s="57"/>
      <c r="D324" s="57"/>
      <c r="E324" s="57"/>
      <c r="F324" s="57"/>
      <c r="G324" s="57"/>
      <c r="H324" s="57"/>
      <c r="I324" s="57"/>
      <c r="J324" s="57"/>
      <c r="K324" s="57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  <c r="AB324" s="121"/>
      <c r="AC324" s="121"/>
      <c r="AD324" s="121"/>
      <c r="AE324" s="121"/>
      <c r="AF324" s="121"/>
      <c r="AG324" s="121"/>
      <c r="AH324" s="121"/>
      <c r="AI324" s="121"/>
      <c r="AJ324" s="121"/>
      <c r="AK324" s="121"/>
    </row>
    <row r="325" spans="2:37">
      <c r="B325" s="134"/>
      <c r="C325" s="57"/>
      <c r="D325" s="57"/>
      <c r="E325" s="57"/>
      <c r="F325" s="57"/>
      <c r="G325" s="57"/>
      <c r="H325" s="57"/>
      <c r="I325" s="57"/>
      <c r="J325" s="57"/>
      <c r="K325" s="57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  <c r="AC325" s="121"/>
      <c r="AD325" s="121"/>
      <c r="AE325" s="121"/>
      <c r="AF325" s="121"/>
      <c r="AG325" s="121"/>
      <c r="AH325" s="121"/>
      <c r="AI325" s="121"/>
      <c r="AJ325" s="121"/>
      <c r="AK325" s="121"/>
    </row>
    <row r="326" spans="2:37">
      <c r="B326" s="134"/>
      <c r="C326" s="57"/>
      <c r="D326" s="57"/>
      <c r="E326" s="57"/>
      <c r="F326" s="57"/>
      <c r="G326" s="57"/>
      <c r="H326" s="57"/>
      <c r="I326" s="57"/>
      <c r="J326" s="57"/>
      <c r="K326" s="57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1"/>
      <c r="AH326" s="121"/>
      <c r="AI326" s="121"/>
      <c r="AJ326" s="121"/>
      <c r="AK326" s="121"/>
    </row>
    <row r="327" spans="2:37">
      <c r="B327" s="134"/>
      <c r="C327" s="57"/>
      <c r="D327" s="57"/>
      <c r="E327" s="57"/>
      <c r="F327" s="57"/>
      <c r="G327" s="57"/>
      <c r="H327" s="57"/>
      <c r="I327" s="57"/>
      <c r="J327" s="57"/>
      <c r="K327" s="57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1"/>
      <c r="AH327" s="121"/>
      <c r="AI327" s="121"/>
      <c r="AJ327" s="121"/>
      <c r="AK327" s="121"/>
    </row>
    <row r="328" spans="2:37">
      <c r="B328" s="134"/>
      <c r="C328" s="57"/>
      <c r="D328" s="57"/>
      <c r="E328" s="57"/>
      <c r="F328" s="57"/>
      <c r="G328" s="57"/>
      <c r="H328" s="57"/>
      <c r="I328" s="57"/>
      <c r="J328" s="57"/>
      <c r="K328" s="57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1"/>
      <c r="AH328" s="121"/>
      <c r="AI328" s="121"/>
      <c r="AJ328" s="121"/>
      <c r="AK328" s="121"/>
    </row>
    <row r="329" spans="2:37">
      <c r="B329" s="134"/>
      <c r="C329" s="57"/>
      <c r="D329" s="57"/>
      <c r="E329" s="57"/>
      <c r="F329" s="57"/>
      <c r="G329" s="57"/>
      <c r="H329" s="57"/>
      <c r="I329" s="57"/>
      <c r="J329" s="57"/>
      <c r="K329" s="57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1"/>
      <c r="AH329" s="121"/>
      <c r="AI329" s="121"/>
      <c r="AJ329" s="121"/>
      <c r="AK329" s="121"/>
    </row>
    <row r="330" spans="2:37">
      <c r="B330" s="134"/>
      <c r="C330" s="57"/>
      <c r="D330" s="57"/>
      <c r="E330" s="57"/>
      <c r="F330" s="57"/>
      <c r="G330" s="57"/>
      <c r="H330" s="57"/>
      <c r="I330" s="57"/>
      <c r="J330" s="57"/>
      <c r="K330" s="57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1"/>
      <c r="AH330" s="121"/>
      <c r="AI330" s="121"/>
      <c r="AJ330" s="121"/>
      <c r="AK330" s="121"/>
    </row>
    <row r="331" spans="2:37">
      <c r="B331" s="134"/>
      <c r="C331" s="57"/>
      <c r="D331" s="57"/>
      <c r="E331" s="57"/>
      <c r="F331" s="57"/>
      <c r="G331" s="57"/>
      <c r="H331" s="57"/>
      <c r="I331" s="57"/>
      <c r="J331" s="57"/>
      <c r="K331" s="57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1"/>
      <c r="AH331" s="121"/>
      <c r="AI331" s="121"/>
      <c r="AJ331" s="121"/>
      <c r="AK331" s="121"/>
    </row>
    <row r="332" spans="2:37">
      <c r="B332" s="134"/>
      <c r="C332" s="57"/>
      <c r="D332" s="57"/>
      <c r="E332" s="57"/>
      <c r="F332" s="57"/>
      <c r="G332" s="57"/>
      <c r="H332" s="57"/>
      <c r="I332" s="57"/>
      <c r="J332" s="57"/>
      <c r="K332" s="57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1"/>
      <c r="AH332" s="121"/>
      <c r="AI332" s="121"/>
      <c r="AJ332" s="121"/>
      <c r="AK332" s="121"/>
    </row>
    <row r="333" spans="2:37">
      <c r="B333" s="134"/>
      <c r="C333" s="57"/>
      <c r="D333" s="57"/>
      <c r="E333" s="57"/>
      <c r="F333" s="57"/>
      <c r="G333" s="57"/>
      <c r="H333" s="57"/>
      <c r="I333" s="57"/>
      <c r="J333" s="57"/>
      <c r="K333" s="57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1"/>
      <c r="AH333" s="121"/>
      <c r="AI333" s="121"/>
      <c r="AJ333" s="121"/>
      <c r="AK333" s="121"/>
    </row>
    <row r="334" spans="2:37">
      <c r="B334" s="134"/>
      <c r="C334" s="57"/>
      <c r="D334" s="57"/>
      <c r="E334" s="57"/>
      <c r="F334" s="57"/>
      <c r="G334" s="57"/>
      <c r="H334" s="57"/>
      <c r="I334" s="57"/>
      <c r="J334" s="57"/>
      <c r="K334" s="57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1"/>
      <c r="AH334" s="121"/>
      <c r="AI334" s="121"/>
      <c r="AJ334" s="121"/>
      <c r="AK334" s="121"/>
    </row>
    <row r="335" spans="2:37">
      <c r="B335" s="134"/>
      <c r="C335" s="57"/>
      <c r="D335" s="57"/>
      <c r="E335" s="57"/>
      <c r="F335" s="57"/>
      <c r="G335" s="57"/>
      <c r="H335" s="57"/>
      <c r="I335" s="57"/>
      <c r="J335" s="57"/>
      <c r="K335" s="57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  <c r="AC335" s="121"/>
      <c r="AD335" s="121"/>
      <c r="AE335" s="121"/>
      <c r="AF335" s="121"/>
      <c r="AG335" s="121"/>
      <c r="AH335" s="121"/>
      <c r="AI335" s="121"/>
      <c r="AJ335" s="121"/>
      <c r="AK335" s="121"/>
    </row>
    <row r="336" spans="2:37">
      <c r="B336" s="134"/>
      <c r="C336" s="57"/>
      <c r="D336" s="57"/>
      <c r="E336" s="57"/>
      <c r="F336" s="57"/>
      <c r="G336" s="57"/>
      <c r="H336" s="57"/>
      <c r="I336" s="57"/>
      <c r="J336" s="57"/>
      <c r="K336" s="57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  <c r="AC336" s="121"/>
      <c r="AD336" s="121"/>
      <c r="AE336" s="121"/>
      <c r="AF336" s="121"/>
      <c r="AG336" s="121"/>
      <c r="AH336" s="121"/>
      <c r="AI336" s="121"/>
      <c r="AJ336" s="121"/>
      <c r="AK336" s="121"/>
    </row>
    <row r="337" spans="2:37">
      <c r="B337" s="134"/>
      <c r="C337" s="57"/>
      <c r="D337" s="57"/>
      <c r="E337" s="57"/>
      <c r="F337" s="57"/>
      <c r="G337" s="57"/>
      <c r="H337" s="57"/>
      <c r="I337" s="57"/>
      <c r="J337" s="57"/>
      <c r="K337" s="57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  <c r="AB337" s="121"/>
      <c r="AC337" s="121"/>
      <c r="AD337" s="121"/>
      <c r="AE337" s="121"/>
      <c r="AF337" s="121"/>
      <c r="AG337" s="121"/>
      <c r="AH337" s="121"/>
      <c r="AI337" s="121"/>
      <c r="AJ337" s="121"/>
      <c r="AK337" s="121"/>
    </row>
    <row r="338" spans="2:37">
      <c r="B338" s="134"/>
      <c r="C338" s="57"/>
      <c r="D338" s="57"/>
      <c r="E338" s="57"/>
      <c r="F338" s="57"/>
      <c r="G338" s="57"/>
      <c r="H338" s="57"/>
      <c r="I338" s="57"/>
      <c r="J338" s="57"/>
      <c r="K338" s="57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  <c r="AB338" s="121"/>
      <c r="AC338" s="121"/>
      <c r="AD338" s="121"/>
      <c r="AE338" s="121"/>
      <c r="AF338" s="121"/>
      <c r="AG338" s="121"/>
      <c r="AH338" s="121"/>
      <c r="AI338" s="121"/>
      <c r="AJ338" s="121"/>
      <c r="AK338" s="121"/>
    </row>
    <row r="339" spans="2:37">
      <c r="B339" s="134"/>
      <c r="C339" s="57"/>
      <c r="D339" s="57"/>
      <c r="E339" s="57"/>
      <c r="F339" s="57"/>
      <c r="G339" s="57"/>
      <c r="H339" s="57"/>
      <c r="I339" s="57"/>
      <c r="J339" s="57"/>
      <c r="K339" s="57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  <c r="AC339" s="121"/>
      <c r="AD339" s="121"/>
      <c r="AE339" s="121"/>
      <c r="AF339" s="121"/>
      <c r="AG339" s="121"/>
      <c r="AH339" s="121"/>
      <c r="AI339" s="121"/>
      <c r="AJ339" s="121"/>
      <c r="AK339" s="121"/>
    </row>
    <row r="340" spans="2:37">
      <c r="B340" s="134"/>
      <c r="C340" s="57"/>
      <c r="D340" s="57"/>
      <c r="E340" s="57"/>
      <c r="F340" s="57"/>
      <c r="G340" s="57"/>
      <c r="H340" s="57"/>
      <c r="I340" s="57"/>
      <c r="J340" s="57"/>
      <c r="K340" s="57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  <c r="AB340" s="121"/>
      <c r="AC340" s="121"/>
      <c r="AD340" s="121"/>
      <c r="AE340" s="121"/>
      <c r="AF340" s="121"/>
      <c r="AG340" s="121"/>
      <c r="AH340" s="121"/>
      <c r="AI340" s="121"/>
      <c r="AJ340" s="121"/>
      <c r="AK340" s="121"/>
    </row>
    <row r="341" spans="2:37">
      <c r="B341" s="134"/>
      <c r="C341" s="57"/>
      <c r="D341" s="57"/>
      <c r="E341" s="57"/>
      <c r="F341" s="57"/>
      <c r="G341" s="57"/>
      <c r="H341" s="57"/>
      <c r="I341" s="57"/>
      <c r="J341" s="57"/>
      <c r="K341" s="57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  <c r="AB341" s="121"/>
      <c r="AC341" s="121"/>
      <c r="AD341" s="121"/>
      <c r="AE341" s="121"/>
      <c r="AF341" s="121"/>
      <c r="AG341" s="121"/>
      <c r="AH341" s="121"/>
      <c r="AI341" s="121"/>
      <c r="AJ341" s="121"/>
      <c r="AK341" s="121"/>
    </row>
    <row r="342" spans="2:37">
      <c r="B342" s="134"/>
      <c r="C342" s="57"/>
      <c r="D342" s="57"/>
      <c r="E342" s="57"/>
      <c r="F342" s="57"/>
      <c r="G342" s="57"/>
      <c r="H342" s="57"/>
      <c r="I342" s="57"/>
      <c r="J342" s="57"/>
      <c r="K342" s="57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  <c r="AB342" s="121"/>
      <c r="AC342" s="121"/>
      <c r="AD342" s="121"/>
      <c r="AE342" s="121"/>
      <c r="AF342" s="121"/>
      <c r="AG342" s="121"/>
      <c r="AH342" s="121"/>
      <c r="AI342" s="121"/>
      <c r="AJ342" s="121"/>
      <c r="AK342" s="121"/>
    </row>
    <row r="343" spans="2:37">
      <c r="B343" s="134"/>
      <c r="C343" s="57"/>
      <c r="D343" s="57"/>
      <c r="E343" s="57"/>
      <c r="F343" s="57"/>
      <c r="G343" s="57"/>
      <c r="H343" s="57"/>
      <c r="I343" s="57"/>
      <c r="J343" s="57"/>
      <c r="K343" s="57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  <c r="AC343" s="121"/>
      <c r="AD343" s="121"/>
      <c r="AE343" s="121"/>
      <c r="AF343" s="121"/>
      <c r="AG343" s="121"/>
      <c r="AH343" s="121"/>
      <c r="AI343" s="121"/>
      <c r="AJ343" s="121"/>
      <c r="AK343" s="121"/>
    </row>
    <row r="344" spans="2:37">
      <c r="B344" s="134"/>
      <c r="C344" s="57"/>
      <c r="D344" s="57"/>
      <c r="E344" s="57"/>
      <c r="F344" s="57"/>
      <c r="G344" s="57"/>
      <c r="H344" s="57"/>
      <c r="I344" s="57"/>
      <c r="J344" s="57"/>
      <c r="K344" s="57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  <c r="AB344" s="121"/>
      <c r="AC344" s="121"/>
      <c r="AD344" s="121"/>
      <c r="AE344" s="121"/>
      <c r="AF344" s="121"/>
      <c r="AG344" s="121"/>
      <c r="AH344" s="121"/>
      <c r="AI344" s="121"/>
      <c r="AJ344" s="121"/>
      <c r="AK344" s="121"/>
    </row>
    <row r="345" spans="2:37">
      <c r="B345" s="134"/>
      <c r="C345" s="57"/>
      <c r="D345" s="57"/>
      <c r="E345" s="57"/>
      <c r="F345" s="57"/>
      <c r="G345" s="57"/>
      <c r="H345" s="57"/>
      <c r="I345" s="57"/>
      <c r="J345" s="57"/>
      <c r="K345" s="57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  <c r="AB345" s="121"/>
      <c r="AC345" s="121"/>
      <c r="AD345" s="121"/>
      <c r="AE345" s="121"/>
      <c r="AF345" s="121"/>
      <c r="AG345" s="121"/>
      <c r="AH345" s="121"/>
      <c r="AI345" s="121"/>
      <c r="AJ345" s="121"/>
      <c r="AK345" s="121"/>
    </row>
    <row r="346" spans="2:37">
      <c r="B346" s="134"/>
      <c r="C346" s="57"/>
      <c r="D346" s="57"/>
      <c r="E346" s="57"/>
      <c r="F346" s="57"/>
      <c r="G346" s="57"/>
      <c r="H346" s="57"/>
      <c r="I346" s="57"/>
      <c r="J346" s="57"/>
      <c r="K346" s="57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  <c r="AB346" s="121"/>
      <c r="AC346" s="121"/>
      <c r="AD346" s="121"/>
      <c r="AE346" s="121"/>
      <c r="AF346" s="121"/>
      <c r="AG346" s="121"/>
      <c r="AH346" s="121"/>
      <c r="AI346" s="121"/>
      <c r="AJ346" s="121"/>
      <c r="AK346" s="121"/>
    </row>
    <row r="347" spans="2:37">
      <c r="B347" s="134"/>
      <c r="C347" s="57"/>
      <c r="D347" s="57"/>
      <c r="E347" s="57"/>
      <c r="F347" s="57"/>
      <c r="G347" s="57"/>
      <c r="H347" s="57"/>
      <c r="I347" s="57"/>
      <c r="J347" s="57"/>
      <c r="K347" s="57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  <c r="AB347" s="121"/>
      <c r="AC347" s="121"/>
      <c r="AD347" s="121"/>
      <c r="AE347" s="121"/>
      <c r="AF347" s="121"/>
      <c r="AG347" s="121"/>
      <c r="AH347" s="121"/>
      <c r="AI347" s="121"/>
      <c r="AJ347" s="121"/>
      <c r="AK347" s="121"/>
    </row>
    <row r="348" spans="2:37">
      <c r="B348" s="134"/>
      <c r="C348" s="57"/>
      <c r="D348" s="57"/>
      <c r="E348" s="57"/>
      <c r="F348" s="57"/>
      <c r="G348" s="57"/>
      <c r="H348" s="57"/>
      <c r="I348" s="57"/>
      <c r="J348" s="57"/>
      <c r="K348" s="57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</row>
    <row r="349" spans="2:37">
      <c r="B349" s="134"/>
      <c r="C349" s="57"/>
      <c r="D349" s="57"/>
      <c r="E349" s="57"/>
      <c r="F349" s="57"/>
      <c r="G349" s="57"/>
      <c r="H349" s="57"/>
      <c r="I349" s="57"/>
      <c r="J349" s="57"/>
      <c r="K349" s="57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</row>
    <row r="350" spans="2:37">
      <c r="B350" s="134"/>
      <c r="C350" s="57"/>
      <c r="D350" s="57"/>
      <c r="E350" s="57"/>
      <c r="F350" s="57"/>
      <c r="G350" s="57"/>
      <c r="H350" s="57"/>
      <c r="I350" s="57"/>
      <c r="J350" s="57"/>
      <c r="K350" s="57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  <c r="AB350" s="121"/>
      <c r="AC350" s="121"/>
      <c r="AD350" s="121"/>
      <c r="AE350" s="121"/>
      <c r="AF350" s="121"/>
      <c r="AG350" s="121"/>
      <c r="AH350" s="121"/>
      <c r="AI350" s="121"/>
      <c r="AJ350" s="121"/>
      <c r="AK350" s="121"/>
    </row>
    <row r="351" spans="2:37">
      <c r="B351" s="134"/>
      <c r="C351" s="57"/>
      <c r="D351" s="57"/>
      <c r="E351" s="57"/>
      <c r="F351" s="57"/>
      <c r="G351" s="57"/>
      <c r="H351" s="57"/>
      <c r="I351" s="57"/>
      <c r="J351" s="57"/>
      <c r="K351" s="57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1"/>
    </row>
    <row r="352" spans="2:37">
      <c r="B352" s="134"/>
      <c r="C352" s="57"/>
      <c r="D352" s="57"/>
      <c r="E352" s="57"/>
      <c r="F352" s="57"/>
      <c r="G352" s="57"/>
      <c r="H352" s="57"/>
      <c r="I352" s="57"/>
      <c r="J352" s="57"/>
      <c r="K352" s="57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</row>
    <row r="353" spans="2:37">
      <c r="B353" s="134"/>
      <c r="C353" s="57"/>
      <c r="D353" s="57"/>
      <c r="E353" s="57"/>
      <c r="F353" s="57"/>
      <c r="G353" s="57"/>
      <c r="H353" s="57"/>
      <c r="I353" s="57"/>
      <c r="J353" s="57"/>
      <c r="K353" s="57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</row>
    <row r="354" spans="2:37">
      <c r="B354" s="134"/>
      <c r="C354" s="57"/>
      <c r="D354" s="57"/>
      <c r="E354" s="57"/>
      <c r="F354" s="57"/>
      <c r="G354" s="57"/>
      <c r="H354" s="57"/>
      <c r="I354" s="57"/>
      <c r="J354" s="57"/>
      <c r="K354" s="57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</row>
    <row r="355" spans="2:37">
      <c r="B355" s="134"/>
      <c r="C355" s="57"/>
      <c r="D355" s="57"/>
      <c r="E355" s="57"/>
      <c r="F355" s="57"/>
      <c r="G355" s="57"/>
      <c r="H355" s="57"/>
      <c r="I355" s="57"/>
      <c r="J355" s="57"/>
      <c r="K355" s="57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</row>
    <row r="356" spans="2:37">
      <c r="B356" s="134"/>
      <c r="C356" s="57"/>
      <c r="D356" s="57"/>
      <c r="E356" s="57"/>
      <c r="F356" s="57"/>
      <c r="G356" s="57"/>
      <c r="H356" s="57"/>
      <c r="I356" s="57"/>
      <c r="J356" s="57"/>
      <c r="K356" s="57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</row>
    <row r="357" spans="2:37">
      <c r="B357" s="134"/>
      <c r="C357" s="57"/>
      <c r="D357" s="57"/>
      <c r="E357" s="57"/>
      <c r="F357" s="57"/>
      <c r="G357" s="57"/>
      <c r="H357" s="57"/>
      <c r="I357" s="57"/>
      <c r="J357" s="57"/>
      <c r="K357" s="57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</row>
    <row r="358" spans="2:37">
      <c r="B358" s="134"/>
      <c r="C358" s="57"/>
      <c r="D358" s="57"/>
      <c r="E358" s="57"/>
      <c r="F358" s="57"/>
      <c r="G358" s="57"/>
      <c r="H358" s="57"/>
      <c r="I358" s="57"/>
      <c r="J358" s="57"/>
      <c r="K358" s="57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</row>
    <row r="359" spans="2:37">
      <c r="B359" s="134"/>
      <c r="C359" s="57"/>
      <c r="D359" s="57"/>
      <c r="E359" s="57"/>
      <c r="F359" s="57"/>
      <c r="G359" s="57"/>
      <c r="H359" s="57"/>
      <c r="I359" s="57"/>
      <c r="J359" s="57"/>
      <c r="K359" s="57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</row>
    <row r="360" spans="2:37">
      <c r="B360" s="134"/>
      <c r="C360" s="57"/>
      <c r="D360" s="57"/>
      <c r="E360" s="57"/>
      <c r="F360" s="57"/>
      <c r="G360" s="57"/>
      <c r="H360" s="57"/>
      <c r="I360" s="57"/>
      <c r="J360" s="57"/>
      <c r="K360" s="57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</row>
    <row r="361" spans="2:37">
      <c r="B361" s="134"/>
      <c r="C361" s="57"/>
      <c r="D361" s="57"/>
      <c r="E361" s="57"/>
      <c r="F361" s="57"/>
      <c r="G361" s="57"/>
      <c r="H361" s="57"/>
      <c r="I361" s="57"/>
      <c r="J361" s="57"/>
      <c r="K361" s="57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</row>
    <row r="362" spans="2:37">
      <c r="B362" s="134"/>
      <c r="C362" s="57"/>
      <c r="D362" s="57"/>
      <c r="E362" s="57"/>
      <c r="F362" s="57"/>
      <c r="G362" s="57"/>
      <c r="H362" s="57"/>
      <c r="I362" s="57"/>
      <c r="J362" s="57"/>
      <c r="K362" s="57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  <c r="AB362" s="121"/>
      <c r="AC362" s="121"/>
      <c r="AD362" s="121"/>
      <c r="AE362" s="121"/>
      <c r="AF362" s="121"/>
      <c r="AG362" s="121"/>
      <c r="AH362" s="121"/>
      <c r="AI362" s="121"/>
      <c r="AJ362" s="121"/>
      <c r="AK362" s="121"/>
    </row>
    <row r="363" spans="2:37">
      <c r="B363" s="134"/>
      <c r="C363" s="57"/>
      <c r="D363" s="57"/>
      <c r="E363" s="57"/>
      <c r="F363" s="57"/>
      <c r="G363" s="57"/>
      <c r="H363" s="57"/>
      <c r="I363" s="57"/>
      <c r="J363" s="57"/>
      <c r="K363" s="57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  <c r="AC363" s="121"/>
      <c r="AD363" s="121"/>
      <c r="AE363" s="121"/>
      <c r="AF363" s="121"/>
      <c r="AG363" s="121"/>
      <c r="AH363" s="121"/>
      <c r="AI363" s="121"/>
      <c r="AJ363" s="121"/>
      <c r="AK363" s="121"/>
    </row>
    <row r="364" spans="2:37">
      <c r="B364" s="134"/>
      <c r="C364" s="57"/>
      <c r="D364" s="57"/>
      <c r="E364" s="57"/>
      <c r="F364" s="57"/>
      <c r="G364" s="57"/>
      <c r="H364" s="57"/>
      <c r="I364" s="57"/>
      <c r="J364" s="57"/>
      <c r="K364" s="57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  <c r="AB364" s="121"/>
      <c r="AC364" s="121"/>
      <c r="AD364" s="121"/>
      <c r="AE364" s="121"/>
      <c r="AF364" s="121"/>
      <c r="AG364" s="121"/>
      <c r="AH364" s="121"/>
      <c r="AI364" s="121"/>
      <c r="AJ364" s="121"/>
      <c r="AK364" s="121"/>
    </row>
    <row r="365" spans="2:37">
      <c r="B365" s="134"/>
      <c r="C365" s="57"/>
      <c r="D365" s="57"/>
      <c r="E365" s="57"/>
      <c r="F365" s="57"/>
      <c r="G365" s="57"/>
      <c r="H365" s="57"/>
      <c r="I365" s="57"/>
      <c r="J365" s="57"/>
      <c r="K365" s="57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  <c r="AB365" s="121"/>
      <c r="AC365" s="121"/>
      <c r="AD365" s="121"/>
      <c r="AE365" s="121"/>
      <c r="AF365" s="121"/>
      <c r="AG365" s="121"/>
      <c r="AH365" s="121"/>
      <c r="AI365" s="121"/>
      <c r="AJ365" s="121"/>
      <c r="AK365" s="121"/>
    </row>
    <row r="366" spans="2:37">
      <c r="B366" s="134"/>
      <c r="C366" s="57"/>
      <c r="D366" s="57"/>
      <c r="E366" s="57"/>
      <c r="F366" s="57"/>
      <c r="G366" s="57"/>
      <c r="H366" s="57"/>
      <c r="I366" s="57"/>
      <c r="J366" s="57"/>
      <c r="K366" s="57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  <c r="AB366" s="121"/>
      <c r="AC366" s="121"/>
      <c r="AD366" s="121"/>
      <c r="AE366" s="121"/>
      <c r="AF366" s="121"/>
      <c r="AG366" s="121"/>
      <c r="AH366" s="121"/>
      <c r="AI366" s="121"/>
      <c r="AJ366" s="121"/>
      <c r="AK366" s="121"/>
    </row>
    <row r="367" spans="2:37">
      <c r="B367" s="134"/>
      <c r="C367" s="57"/>
      <c r="D367" s="57"/>
      <c r="E367" s="57"/>
      <c r="F367" s="57"/>
      <c r="G367" s="57"/>
      <c r="H367" s="57"/>
      <c r="I367" s="57"/>
      <c r="J367" s="57"/>
      <c r="K367" s="57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  <c r="AC367" s="121"/>
      <c r="AD367" s="121"/>
      <c r="AE367" s="121"/>
      <c r="AF367" s="121"/>
      <c r="AG367" s="121"/>
      <c r="AH367" s="121"/>
      <c r="AI367" s="121"/>
      <c r="AJ367" s="121"/>
      <c r="AK367" s="121"/>
    </row>
    <row r="368" spans="2:37">
      <c r="B368" s="134"/>
      <c r="C368" s="57"/>
      <c r="D368" s="57"/>
      <c r="E368" s="57"/>
      <c r="F368" s="57"/>
      <c r="G368" s="57"/>
      <c r="H368" s="57"/>
      <c r="I368" s="57"/>
      <c r="J368" s="57"/>
      <c r="K368" s="57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  <c r="AB368" s="121"/>
      <c r="AC368" s="121"/>
      <c r="AD368" s="121"/>
      <c r="AE368" s="121"/>
      <c r="AF368" s="121"/>
      <c r="AG368" s="121"/>
      <c r="AH368" s="121"/>
      <c r="AI368" s="121"/>
      <c r="AJ368" s="121"/>
      <c r="AK368" s="121"/>
    </row>
    <row r="369" spans="2:37">
      <c r="B369" s="134"/>
      <c r="C369" s="57"/>
      <c r="D369" s="57"/>
      <c r="E369" s="57"/>
      <c r="F369" s="57"/>
      <c r="G369" s="57"/>
      <c r="H369" s="57"/>
      <c r="I369" s="57"/>
      <c r="J369" s="57"/>
      <c r="K369" s="57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  <c r="AB369" s="121"/>
      <c r="AC369" s="121"/>
      <c r="AD369" s="121"/>
      <c r="AE369" s="121"/>
      <c r="AF369" s="121"/>
      <c r="AG369" s="121"/>
      <c r="AH369" s="121"/>
      <c r="AI369" s="121"/>
      <c r="AJ369" s="121"/>
      <c r="AK369" s="121"/>
    </row>
    <row r="370" spans="2:37">
      <c r="B370" s="134"/>
      <c r="C370" s="57"/>
      <c r="D370" s="57"/>
      <c r="E370" s="57"/>
      <c r="F370" s="57"/>
      <c r="G370" s="57"/>
      <c r="H370" s="57"/>
      <c r="I370" s="57"/>
      <c r="J370" s="57"/>
      <c r="K370" s="57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  <c r="AB370" s="121"/>
      <c r="AC370" s="121"/>
      <c r="AD370" s="121"/>
      <c r="AE370" s="121"/>
      <c r="AF370" s="121"/>
      <c r="AG370" s="121"/>
      <c r="AH370" s="121"/>
      <c r="AI370" s="121"/>
      <c r="AJ370" s="121"/>
      <c r="AK370" s="121"/>
    </row>
    <row r="371" spans="2:37">
      <c r="B371" s="134"/>
      <c r="C371" s="57"/>
      <c r="D371" s="57"/>
      <c r="E371" s="57"/>
      <c r="F371" s="57"/>
      <c r="G371" s="57"/>
      <c r="H371" s="57"/>
      <c r="I371" s="57"/>
      <c r="J371" s="57"/>
      <c r="K371" s="57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  <c r="AB371" s="121"/>
      <c r="AC371" s="121"/>
      <c r="AD371" s="121"/>
      <c r="AE371" s="121"/>
      <c r="AF371" s="121"/>
      <c r="AG371" s="121"/>
      <c r="AH371" s="121"/>
      <c r="AI371" s="121"/>
      <c r="AJ371" s="121"/>
      <c r="AK371" s="121"/>
    </row>
    <row r="372" spans="2:37">
      <c r="B372" s="134"/>
      <c r="C372" s="57"/>
      <c r="D372" s="57"/>
      <c r="E372" s="57"/>
      <c r="F372" s="57"/>
      <c r="G372" s="57"/>
      <c r="H372" s="57"/>
      <c r="I372" s="57"/>
      <c r="J372" s="57"/>
      <c r="K372" s="57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  <c r="AC372" s="121"/>
      <c r="AD372" s="121"/>
      <c r="AE372" s="121"/>
      <c r="AF372" s="121"/>
      <c r="AG372" s="121"/>
      <c r="AH372" s="121"/>
      <c r="AI372" s="121"/>
      <c r="AJ372" s="121"/>
      <c r="AK372" s="121"/>
    </row>
    <row r="373" spans="2:37">
      <c r="B373" s="134"/>
      <c r="C373" s="57"/>
      <c r="D373" s="57"/>
      <c r="E373" s="57"/>
      <c r="F373" s="57"/>
      <c r="G373" s="57"/>
      <c r="H373" s="57"/>
      <c r="I373" s="57"/>
      <c r="J373" s="57"/>
      <c r="K373" s="57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  <c r="AC373" s="121"/>
      <c r="AD373" s="121"/>
      <c r="AE373" s="121"/>
      <c r="AF373" s="121"/>
      <c r="AG373" s="121"/>
      <c r="AH373" s="121"/>
      <c r="AI373" s="121"/>
      <c r="AJ373" s="121"/>
      <c r="AK373" s="121"/>
    </row>
    <row r="374" spans="2:37">
      <c r="B374" s="134"/>
      <c r="C374" s="57"/>
      <c r="D374" s="57"/>
      <c r="E374" s="57"/>
      <c r="F374" s="57"/>
      <c r="G374" s="57"/>
      <c r="H374" s="57"/>
      <c r="I374" s="57"/>
      <c r="J374" s="57"/>
      <c r="K374" s="57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  <c r="AB374" s="121"/>
      <c r="AC374" s="121"/>
      <c r="AD374" s="121"/>
      <c r="AE374" s="121"/>
      <c r="AF374" s="121"/>
      <c r="AG374" s="121"/>
      <c r="AH374" s="121"/>
      <c r="AI374" s="121"/>
      <c r="AJ374" s="121"/>
      <c r="AK374" s="121"/>
    </row>
    <row r="375" spans="2:37">
      <c r="B375" s="134"/>
      <c r="C375" s="57"/>
      <c r="D375" s="57"/>
      <c r="E375" s="57"/>
      <c r="F375" s="57"/>
      <c r="G375" s="57"/>
      <c r="H375" s="57"/>
      <c r="I375" s="57"/>
      <c r="J375" s="57"/>
      <c r="K375" s="57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  <c r="AB375" s="121"/>
      <c r="AC375" s="121"/>
      <c r="AD375" s="121"/>
      <c r="AE375" s="121"/>
      <c r="AF375" s="121"/>
      <c r="AG375" s="121"/>
      <c r="AH375" s="121"/>
      <c r="AI375" s="121"/>
      <c r="AJ375" s="121"/>
      <c r="AK375" s="121"/>
    </row>
    <row r="376" spans="2:37">
      <c r="B376" s="134"/>
      <c r="C376" s="57"/>
      <c r="D376" s="57"/>
      <c r="E376" s="57"/>
      <c r="F376" s="57"/>
      <c r="G376" s="57"/>
      <c r="H376" s="57"/>
      <c r="I376" s="57"/>
      <c r="J376" s="57"/>
      <c r="K376" s="57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  <c r="AB376" s="121"/>
      <c r="AC376" s="121"/>
      <c r="AD376" s="121"/>
      <c r="AE376" s="121"/>
      <c r="AF376" s="121"/>
      <c r="AG376" s="121"/>
      <c r="AH376" s="121"/>
      <c r="AI376" s="121"/>
      <c r="AJ376" s="121"/>
      <c r="AK376" s="121"/>
    </row>
    <row r="377" spans="2:37">
      <c r="B377" s="134"/>
      <c r="C377" s="57"/>
      <c r="D377" s="57"/>
      <c r="E377" s="57"/>
      <c r="F377" s="57"/>
      <c r="G377" s="57"/>
      <c r="H377" s="57"/>
      <c r="I377" s="57"/>
      <c r="J377" s="57"/>
      <c r="K377" s="57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  <c r="AC377" s="121"/>
      <c r="AD377" s="121"/>
      <c r="AE377" s="121"/>
      <c r="AF377" s="121"/>
      <c r="AG377" s="121"/>
      <c r="AH377" s="121"/>
      <c r="AI377" s="121"/>
      <c r="AJ377" s="121"/>
      <c r="AK377" s="121"/>
    </row>
    <row r="378" spans="2:37">
      <c r="B378" s="134"/>
      <c r="C378" s="57"/>
      <c r="D378" s="57"/>
      <c r="E378" s="57"/>
      <c r="F378" s="57"/>
      <c r="G378" s="57"/>
      <c r="H378" s="57"/>
      <c r="I378" s="57"/>
      <c r="J378" s="57"/>
      <c r="K378" s="57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1"/>
      <c r="AH378" s="121"/>
      <c r="AI378" s="121"/>
      <c r="AJ378" s="121"/>
      <c r="AK378" s="121"/>
    </row>
    <row r="379" spans="2:37">
      <c r="B379" s="134"/>
      <c r="C379" s="57"/>
      <c r="D379" s="57"/>
      <c r="E379" s="57"/>
      <c r="F379" s="57"/>
      <c r="G379" s="57"/>
      <c r="H379" s="57"/>
      <c r="I379" s="57"/>
      <c r="J379" s="57"/>
      <c r="K379" s="57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1"/>
      <c r="AH379" s="121"/>
      <c r="AI379" s="121"/>
      <c r="AJ379" s="121"/>
      <c r="AK379" s="121"/>
    </row>
    <row r="380" spans="2:37">
      <c r="B380" s="134"/>
      <c r="C380" s="57"/>
      <c r="D380" s="57"/>
      <c r="E380" s="57"/>
      <c r="F380" s="57"/>
      <c r="G380" s="57"/>
      <c r="H380" s="57"/>
      <c r="I380" s="57"/>
      <c r="J380" s="57"/>
      <c r="K380" s="57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1"/>
      <c r="AH380" s="121"/>
      <c r="AI380" s="121"/>
      <c r="AJ380" s="121"/>
      <c r="AK380" s="121"/>
    </row>
    <row r="381" spans="2:37">
      <c r="B381" s="134"/>
      <c r="C381" s="57"/>
      <c r="D381" s="57"/>
      <c r="E381" s="57"/>
      <c r="F381" s="57"/>
      <c r="G381" s="57"/>
      <c r="H381" s="57"/>
      <c r="I381" s="57"/>
      <c r="J381" s="57"/>
      <c r="K381" s="57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1"/>
      <c r="AH381" s="121"/>
      <c r="AI381" s="121"/>
      <c r="AJ381" s="121"/>
      <c r="AK381" s="121"/>
    </row>
    <row r="382" spans="2:37">
      <c r="B382" s="134"/>
      <c r="C382" s="57"/>
      <c r="D382" s="57"/>
      <c r="E382" s="57"/>
      <c r="F382" s="57"/>
      <c r="G382" s="57"/>
      <c r="H382" s="57"/>
      <c r="I382" s="57"/>
      <c r="J382" s="57"/>
      <c r="K382" s="57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1"/>
      <c r="AH382" s="121"/>
      <c r="AI382" s="121"/>
      <c r="AJ382" s="121"/>
      <c r="AK382" s="121"/>
    </row>
    <row r="383" spans="2:37">
      <c r="B383" s="134"/>
      <c r="C383" s="57"/>
      <c r="D383" s="57"/>
      <c r="E383" s="57"/>
      <c r="F383" s="57"/>
      <c r="G383" s="57"/>
      <c r="H383" s="57"/>
      <c r="I383" s="57"/>
      <c r="J383" s="57"/>
      <c r="K383" s="57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1"/>
      <c r="AH383" s="121"/>
      <c r="AI383" s="121"/>
      <c r="AJ383" s="121"/>
      <c r="AK383" s="121"/>
    </row>
    <row r="384" spans="2:37">
      <c r="B384" s="134"/>
      <c r="C384" s="57"/>
      <c r="D384" s="57"/>
      <c r="E384" s="57"/>
      <c r="F384" s="57"/>
      <c r="G384" s="57"/>
      <c r="H384" s="57"/>
      <c r="I384" s="57"/>
      <c r="J384" s="57"/>
      <c r="K384" s="57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1"/>
      <c r="AH384" s="121"/>
      <c r="AI384" s="121"/>
      <c r="AJ384" s="121"/>
      <c r="AK384" s="121"/>
    </row>
    <row r="385" spans="2:37">
      <c r="B385" s="134"/>
      <c r="C385" s="57"/>
      <c r="D385" s="57"/>
      <c r="E385" s="57"/>
      <c r="F385" s="57"/>
      <c r="G385" s="57"/>
      <c r="H385" s="57"/>
      <c r="I385" s="57"/>
      <c r="J385" s="57"/>
      <c r="K385" s="57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1"/>
      <c r="AH385" s="121"/>
      <c r="AI385" s="121"/>
      <c r="AJ385" s="121"/>
      <c r="AK385" s="121"/>
    </row>
    <row r="386" spans="2:37">
      <c r="B386" s="134"/>
      <c r="C386" s="57"/>
      <c r="D386" s="57"/>
      <c r="E386" s="57"/>
      <c r="F386" s="57"/>
      <c r="G386" s="57"/>
      <c r="H386" s="57"/>
      <c r="I386" s="57"/>
      <c r="J386" s="57"/>
      <c r="K386" s="57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</row>
    <row r="387" spans="2:37">
      <c r="B387" s="134"/>
      <c r="C387" s="57"/>
      <c r="D387" s="57"/>
      <c r="E387" s="57"/>
      <c r="F387" s="57"/>
      <c r="G387" s="57"/>
      <c r="H387" s="57"/>
      <c r="I387" s="57"/>
      <c r="J387" s="57"/>
      <c r="K387" s="57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</row>
    <row r="388" spans="2:37">
      <c r="B388" s="134"/>
      <c r="C388" s="57"/>
      <c r="D388" s="57"/>
      <c r="E388" s="57"/>
      <c r="F388" s="57"/>
      <c r="G388" s="57"/>
      <c r="H388" s="57"/>
      <c r="I388" s="57"/>
      <c r="J388" s="57"/>
      <c r="K388" s="57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  <c r="AC388" s="121"/>
      <c r="AD388" s="121"/>
      <c r="AE388" s="121"/>
      <c r="AF388" s="121"/>
      <c r="AG388" s="121"/>
      <c r="AH388" s="121"/>
      <c r="AI388" s="121"/>
      <c r="AJ388" s="121"/>
      <c r="AK388" s="121"/>
    </row>
    <row r="389" spans="2:37">
      <c r="B389" s="134"/>
      <c r="C389" s="57"/>
      <c r="D389" s="57"/>
      <c r="E389" s="57"/>
      <c r="F389" s="57"/>
      <c r="G389" s="57"/>
      <c r="H389" s="57"/>
      <c r="I389" s="57"/>
      <c r="J389" s="57"/>
      <c r="K389" s="57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1"/>
    </row>
    <row r="390" spans="2:37">
      <c r="B390" s="134"/>
      <c r="C390" s="57"/>
      <c r="D390" s="57"/>
      <c r="E390" s="57"/>
      <c r="F390" s="57"/>
      <c r="G390" s="57"/>
      <c r="H390" s="57"/>
      <c r="I390" s="57"/>
      <c r="J390" s="57"/>
      <c r="K390" s="57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</row>
    <row r="391" spans="2:37">
      <c r="B391" s="134"/>
      <c r="C391" s="57"/>
      <c r="D391" s="57"/>
      <c r="E391" s="57"/>
      <c r="F391" s="57"/>
      <c r="G391" s="57"/>
      <c r="H391" s="57"/>
      <c r="I391" s="57"/>
      <c r="J391" s="57"/>
      <c r="K391" s="57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</row>
    <row r="392" spans="2:37">
      <c r="B392" s="134"/>
      <c r="C392" s="57"/>
      <c r="D392" s="57"/>
      <c r="E392" s="57"/>
      <c r="F392" s="57"/>
      <c r="G392" s="57"/>
      <c r="H392" s="57"/>
      <c r="I392" s="57"/>
      <c r="J392" s="57"/>
      <c r="K392" s="57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</row>
    <row r="393" spans="2:37">
      <c r="B393" s="134"/>
      <c r="C393" s="57"/>
      <c r="D393" s="57"/>
      <c r="E393" s="57"/>
      <c r="F393" s="57"/>
      <c r="G393" s="57"/>
      <c r="H393" s="57"/>
      <c r="I393" s="57"/>
      <c r="J393" s="57"/>
      <c r="K393" s="57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</row>
    <row r="394" spans="2:37">
      <c r="B394" s="134"/>
      <c r="C394" s="57"/>
      <c r="D394" s="57"/>
      <c r="E394" s="57"/>
      <c r="F394" s="57"/>
      <c r="G394" s="57"/>
      <c r="H394" s="57"/>
      <c r="I394" s="57"/>
      <c r="J394" s="57"/>
      <c r="K394" s="57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</row>
    <row r="395" spans="2:37">
      <c r="B395" s="134"/>
      <c r="C395" s="57"/>
      <c r="D395" s="57"/>
      <c r="E395" s="57"/>
      <c r="F395" s="57"/>
      <c r="G395" s="57"/>
      <c r="H395" s="57"/>
      <c r="I395" s="57"/>
      <c r="J395" s="57"/>
      <c r="K395" s="57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</row>
    <row r="396" spans="2:37">
      <c r="B396" s="134"/>
      <c r="C396" s="57"/>
      <c r="D396" s="57"/>
      <c r="E396" s="57"/>
      <c r="F396" s="57"/>
      <c r="G396" s="57"/>
      <c r="H396" s="57"/>
      <c r="I396" s="57"/>
      <c r="J396" s="57"/>
      <c r="K396" s="57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</row>
    <row r="397" spans="2:37">
      <c r="B397" s="134"/>
      <c r="C397" s="57"/>
      <c r="D397" s="57"/>
      <c r="E397" s="57"/>
      <c r="F397" s="57"/>
      <c r="G397" s="57"/>
      <c r="H397" s="57"/>
      <c r="I397" s="57"/>
      <c r="J397" s="57"/>
      <c r="K397" s="57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</row>
    <row r="398" spans="2:37">
      <c r="B398" s="134"/>
      <c r="C398" s="57"/>
      <c r="D398" s="57"/>
      <c r="E398" s="57"/>
      <c r="F398" s="57"/>
      <c r="G398" s="57"/>
      <c r="H398" s="57"/>
      <c r="I398" s="57"/>
      <c r="J398" s="57"/>
      <c r="K398" s="57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</row>
    <row r="399" spans="2:37">
      <c r="B399" s="134"/>
      <c r="C399" s="57"/>
      <c r="D399" s="57"/>
      <c r="E399" s="57"/>
      <c r="F399" s="57"/>
      <c r="G399" s="57"/>
      <c r="H399" s="57"/>
      <c r="I399" s="57"/>
      <c r="J399" s="57"/>
      <c r="K399" s="57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</row>
    <row r="400" spans="2:37">
      <c r="B400" s="134"/>
      <c r="C400" s="57"/>
      <c r="D400" s="57"/>
      <c r="E400" s="57"/>
      <c r="F400" s="57"/>
      <c r="G400" s="57"/>
      <c r="H400" s="57"/>
      <c r="I400" s="57"/>
      <c r="J400" s="57"/>
      <c r="K400" s="57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  <c r="AC400" s="121"/>
      <c r="AD400" s="121"/>
      <c r="AE400" s="121"/>
      <c r="AF400" s="121"/>
      <c r="AG400" s="121"/>
      <c r="AH400" s="121"/>
      <c r="AI400" s="121"/>
      <c r="AJ400" s="121"/>
      <c r="AK400" s="121"/>
    </row>
    <row r="401" spans="2:37">
      <c r="B401" s="134"/>
      <c r="C401" s="57"/>
      <c r="D401" s="57"/>
      <c r="E401" s="57"/>
      <c r="F401" s="57"/>
      <c r="G401" s="57"/>
      <c r="H401" s="57"/>
      <c r="I401" s="57"/>
      <c r="J401" s="57"/>
      <c r="K401" s="57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  <c r="AB401" s="121"/>
      <c r="AC401" s="121"/>
      <c r="AD401" s="121"/>
      <c r="AE401" s="121"/>
      <c r="AF401" s="121"/>
      <c r="AG401" s="121"/>
      <c r="AH401" s="121"/>
      <c r="AI401" s="121"/>
      <c r="AJ401" s="121"/>
      <c r="AK401" s="121"/>
    </row>
    <row r="402" spans="2:37">
      <c r="B402" s="134"/>
      <c r="C402" s="57"/>
      <c r="D402" s="57"/>
      <c r="E402" s="57"/>
      <c r="F402" s="57"/>
      <c r="G402" s="57"/>
      <c r="H402" s="57"/>
      <c r="I402" s="57"/>
      <c r="J402" s="57"/>
      <c r="K402" s="57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  <c r="AB402" s="121"/>
      <c r="AC402" s="121"/>
      <c r="AD402" s="121"/>
      <c r="AE402" s="121"/>
      <c r="AF402" s="121"/>
      <c r="AG402" s="121"/>
      <c r="AH402" s="121"/>
      <c r="AI402" s="121"/>
      <c r="AJ402" s="121"/>
      <c r="AK402" s="121"/>
    </row>
    <row r="403" spans="2:37">
      <c r="B403" s="134"/>
      <c r="C403" s="57"/>
      <c r="D403" s="57"/>
      <c r="E403" s="57"/>
      <c r="F403" s="57"/>
      <c r="G403" s="57"/>
      <c r="H403" s="57"/>
      <c r="I403" s="57"/>
      <c r="J403" s="57"/>
      <c r="K403" s="57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  <c r="AB403" s="121"/>
      <c r="AC403" s="121"/>
      <c r="AD403" s="121"/>
      <c r="AE403" s="121"/>
      <c r="AF403" s="121"/>
      <c r="AG403" s="121"/>
      <c r="AH403" s="121"/>
      <c r="AI403" s="121"/>
      <c r="AJ403" s="121"/>
      <c r="AK403" s="121"/>
    </row>
    <row r="404" spans="2:37">
      <c r="B404" s="134"/>
      <c r="C404" s="57"/>
      <c r="D404" s="57"/>
      <c r="E404" s="57"/>
      <c r="F404" s="57"/>
      <c r="G404" s="57"/>
      <c r="H404" s="57"/>
      <c r="I404" s="57"/>
      <c r="J404" s="57"/>
      <c r="K404" s="57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  <c r="AB404" s="121"/>
      <c r="AC404" s="121"/>
      <c r="AD404" s="121"/>
      <c r="AE404" s="121"/>
      <c r="AF404" s="121"/>
      <c r="AG404" s="121"/>
      <c r="AH404" s="121"/>
      <c r="AI404" s="121"/>
      <c r="AJ404" s="121"/>
      <c r="AK404" s="121"/>
    </row>
    <row r="405" spans="2:37">
      <c r="B405" s="134"/>
      <c r="C405" s="57"/>
      <c r="D405" s="57"/>
      <c r="E405" s="57"/>
      <c r="F405" s="57"/>
      <c r="G405" s="57"/>
      <c r="H405" s="57"/>
      <c r="I405" s="57"/>
      <c r="J405" s="57"/>
      <c r="K405" s="57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  <c r="AC405" s="121"/>
      <c r="AD405" s="121"/>
      <c r="AE405" s="121"/>
      <c r="AF405" s="121"/>
      <c r="AG405" s="121"/>
      <c r="AH405" s="121"/>
      <c r="AI405" s="121"/>
      <c r="AJ405" s="121"/>
      <c r="AK405" s="121"/>
    </row>
    <row r="406" spans="2:37">
      <c r="B406" s="134"/>
      <c r="C406" s="57"/>
      <c r="D406" s="57"/>
      <c r="E406" s="57"/>
      <c r="F406" s="57"/>
      <c r="G406" s="57"/>
      <c r="H406" s="57"/>
      <c r="I406" s="57"/>
      <c r="J406" s="57"/>
      <c r="K406" s="57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  <c r="AB406" s="121"/>
      <c r="AC406" s="121"/>
      <c r="AD406" s="121"/>
      <c r="AE406" s="121"/>
      <c r="AF406" s="121"/>
      <c r="AG406" s="121"/>
      <c r="AH406" s="121"/>
      <c r="AI406" s="121"/>
      <c r="AJ406" s="121"/>
      <c r="AK406" s="121"/>
    </row>
    <row r="407" spans="2:37">
      <c r="B407" s="134"/>
      <c r="C407" s="57"/>
      <c r="D407" s="57"/>
      <c r="E407" s="57"/>
      <c r="F407" s="57"/>
      <c r="G407" s="57"/>
      <c r="H407" s="57"/>
      <c r="I407" s="57"/>
      <c r="J407" s="57"/>
      <c r="K407" s="57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  <c r="AB407" s="121"/>
      <c r="AC407" s="121"/>
      <c r="AD407" s="121"/>
      <c r="AE407" s="121"/>
      <c r="AF407" s="121"/>
      <c r="AG407" s="121"/>
      <c r="AH407" s="121"/>
      <c r="AI407" s="121"/>
      <c r="AJ407" s="121"/>
      <c r="AK407" s="121"/>
    </row>
    <row r="408" spans="2:37">
      <c r="B408" s="134"/>
      <c r="C408" s="57"/>
      <c r="D408" s="57"/>
      <c r="E408" s="57"/>
      <c r="F408" s="57"/>
      <c r="G408" s="57"/>
      <c r="H408" s="57"/>
      <c r="I408" s="57"/>
      <c r="J408" s="57"/>
      <c r="K408" s="57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  <c r="AC408" s="121"/>
      <c r="AD408" s="121"/>
      <c r="AE408" s="121"/>
      <c r="AF408" s="121"/>
      <c r="AG408" s="121"/>
      <c r="AH408" s="121"/>
      <c r="AI408" s="121"/>
      <c r="AJ408" s="121"/>
      <c r="AK408" s="121"/>
    </row>
    <row r="409" spans="2:37">
      <c r="B409" s="134"/>
      <c r="C409" s="57"/>
      <c r="D409" s="57"/>
      <c r="E409" s="57"/>
      <c r="F409" s="57"/>
      <c r="G409" s="57"/>
      <c r="H409" s="57"/>
      <c r="I409" s="57"/>
      <c r="J409" s="57"/>
      <c r="K409" s="57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  <c r="AB409" s="121"/>
      <c r="AC409" s="121"/>
      <c r="AD409" s="121"/>
      <c r="AE409" s="121"/>
      <c r="AF409" s="121"/>
      <c r="AG409" s="121"/>
      <c r="AH409" s="121"/>
      <c r="AI409" s="121"/>
      <c r="AJ409" s="121"/>
      <c r="AK409" s="121"/>
    </row>
    <row r="410" spans="2:37">
      <c r="B410" s="134"/>
      <c r="C410" s="57"/>
      <c r="D410" s="57"/>
      <c r="E410" s="57"/>
      <c r="F410" s="57"/>
      <c r="G410" s="57"/>
      <c r="H410" s="57"/>
      <c r="I410" s="57"/>
      <c r="J410" s="57"/>
      <c r="K410" s="57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  <c r="AC410" s="121"/>
      <c r="AD410" s="121"/>
      <c r="AE410" s="121"/>
      <c r="AF410" s="121"/>
      <c r="AG410" s="121"/>
      <c r="AH410" s="121"/>
      <c r="AI410" s="121"/>
      <c r="AJ410" s="121"/>
      <c r="AK410" s="121"/>
    </row>
    <row r="411" spans="2:37">
      <c r="B411" s="134"/>
      <c r="C411" s="57"/>
      <c r="D411" s="57"/>
      <c r="E411" s="57"/>
      <c r="F411" s="57"/>
      <c r="G411" s="57"/>
      <c r="H411" s="57"/>
      <c r="I411" s="57"/>
      <c r="J411" s="57"/>
      <c r="K411" s="57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  <c r="AC411" s="121"/>
      <c r="AD411" s="121"/>
      <c r="AE411" s="121"/>
      <c r="AF411" s="121"/>
      <c r="AG411" s="121"/>
      <c r="AH411" s="121"/>
      <c r="AI411" s="121"/>
      <c r="AJ411" s="121"/>
      <c r="AK411" s="121"/>
    </row>
    <row r="412" spans="2:37">
      <c r="B412" s="134"/>
      <c r="C412" s="57"/>
      <c r="D412" s="57"/>
      <c r="E412" s="57"/>
      <c r="F412" s="57"/>
      <c r="G412" s="57"/>
      <c r="H412" s="57"/>
      <c r="I412" s="57"/>
      <c r="J412" s="57"/>
      <c r="K412" s="57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  <c r="AC412" s="121"/>
      <c r="AD412" s="121"/>
      <c r="AE412" s="121"/>
      <c r="AF412" s="121"/>
      <c r="AG412" s="121"/>
      <c r="AH412" s="121"/>
      <c r="AI412" s="121"/>
      <c r="AJ412" s="121"/>
      <c r="AK412" s="121"/>
    </row>
    <row r="413" spans="2:37">
      <c r="B413" s="134"/>
      <c r="C413" s="57"/>
      <c r="D413" s="57"/>
      <c r="E413" s="57"/>
      <c r="F413" s="57"/>
      <c r="G413" s="57"/>
      <c r="H413" s="57"/>
      <c r="I413" s="57"/>
      <c r="J413" s="57"/>
      <c r="K413" s="57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  <c r="AC413" s="121"/>
      <c r="AD413" s="121"/>
      <c r="AE413" s="121"/>
      <c r="AF413" s="121"/>
      <c r="AG413" s="121"/>
      <c r="AH413" s="121"/>
      <c r="AI413" s="121"/>
      <c r="AJ413" s="121"/>
      <c r="AK413" s="121"/>
    </row>
    <row r="414" spans="2:37">
      <c r="B414" s="134"/>
      <c r="C414" s="57"/>
      <c r="D414" s="57"/>
      <c r="E414" s="57"/>
      <c r="F414" s="57"/>
      <c r="G414" s="57"/>
      <c r="H414" s="57"/>
      <c r="I414" s="57"/>
      <c r="J414" s="57"/>
      <c r="K414" s="57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  <c r="AB414" s="121"/>
      <c r="AC414" s="121"/>
      <c r="AD414" s="121"/>
      <c r="AE414" s="121"/>
      <c r="AF414" s="121"/>
      <c r="AG414" s="121"/>
      <c r="AH414" s="121"/>
      <c r="AI414" s="121"/>
      <c r="AJ414" s="121"/>
      <c r="AK414" s="121"/>
    </row>
    <row r="415" spans="2:37">
      <c r="B415" s="134"/>
      <c r="C415" s="57"/>
      <c r="D415" s="57"/>
      <c r="E415" s="57"/>
      <c r="F415" s="57"/>
      <c r="G415" s="57"/>
      <c r="H415" s="57"/>
      <c r="I415" s="57"/>
      <c r="J415" s="57"/>
      <c r="K415" s="57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  <c r="AC415" s="121"/>
      <c r="AD415" s="121"/>
      <c r="AE415" s="121"/>
      <c r="AF415" s="121"/>
      <c r="AG415" s="121"/>
      <c r="AH415" s="121"/>
      <c r="AI415" s="121"/>
      <c r="AJ415" s="121"/>
      <c r="AK415" s="121"/>
    </row>
    <row r="416" spans="2:37">
      <c r="B416" s="134"/>
      <c r="C416" s="57"/>
      <c r="D416" s="57"/>
      <c r="E416" s="57"/>
      <c r="F416" s="57"/>
      <c r="G416" s="57"/>
      <c r="H416" s="57"/>
      <c r="I416" s="57"/>
      <c r="J416" s="57"/>
      <c r="K416" s="57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  <c r="AB416" s="121"/>
      <c r="AC416" s="121"/>
      <c r="AD416" s="121"/>
      <c r="AE416" s="121"/>
      <c r="AF416" s="121"/>
      <c r="AG416" s="121"/>
      <c r="AH416" s="121"/>
      <c r="AI416" s="121"/>
      <c r="AJ416" s="121"/>
      <c r="AK416" s="121"/>
    </row>
    <row r="417" spans="2:37">
      <c r="B417" s="134"/>
      <c r="C417" s="57"/>
      <c r="D417" s="57"/>
      <c r="E417" s="57"/>
      <c r="F417" s="57"/>
      <c r="G417" s="57"/>
      <c r="H417" s="57"/>
      <c r="I417" s="57"/>
      <c r="J417" s="57"/>
      <c r="K417" s="57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  <c r="AC417" s="121"/>
      <c r="AD417" s="121"/>
      <c r="AE417" s="121"/>
      <c r="AF417" s="121"/>
      <c r="AG417" s="121"/>
      <c r="AH417" s="121"/>
      <c r="AI417" s="121"/>
      <c r="AJ417" s="121"/>
      <c r="AK417" s="121"/>
    </row>
    <row r="418" spans="2:37">
      <c r="B418" s="134"/>
      <c r="C418" s="57"/>
      <c r="D418" s="57"/>
      <c r="E418" s="57"/>
      <c r="F418" s="57"/>
      <c r="G418" s="57"/>
      <c r="H418" s="57"/>
      <c r="I418" s="57"/>
      <c r="J418" s="57"/>
      <c r="K418" s="57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  <c r="AC418" s="121"/>
      <c r="AD418" s="121"/>
      <c r="AE418" s="121"/>
      <c r="AF418" s="121"/>
      <c r="AG418" s="121"/>
      <c r="AH418" s="121"/>
      <c r="AI418" s="121"/>
      <c r="AJ418" s="121"/>
      <c r="AK418" s="121"/>
    </row>
    <row r="419" spans="2:37">
      <c r="B419" s="134"/>
      <c r="C419" s="57"/>
      <c r="D419" s="57"/>
      <c r="E419" s="57"/>
      <c r="F419" s="57"/>
      <c r="G419" s="57"/>
      <c r="H419" s="57"/>
      <c r="I419" s="57"/>
      <c r="J419" s="57"/>
      <c r="K419" s="57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  <c r="AB419" s="121"/>
      <c r="AC419" s="121"/>
      <c r="AD419" s="121"/>
      <c r="AE419" s="121"/>
      <c r="AF419" s="121"/>
      <c r="AG419" s="121"/>
      <c r="AH419" s="121"/>
      <c r="AI419" s="121"/>
      <c r="AJ419" s="121"/>
      <c r="AK419" s="121"/>
    </row>
    <row r="420" spans="2:37">
      <c r="B420" s="134"/>
      <c r="C420" s="57"/>
      <c r="D420" s="57"/>
      <c r="E420" s="57"/>
      <c r="F420" s="57"/>
      <c r="G420" s="57"/>
      <c r="H420" s="57"/>
      <c r="I420" s="57"/>
      <c r="J420" s="57"/>
      <c r="K420" s="57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  <c r="AB420" s="121"/>
      <c r="AC420" s="121"/>
      <c r="AD420" s="121"/>
      <c r="AE420" s="121"/>
      <c r="AF420" s="121"/>
      <c r="AG420" s="121"/>
      <c r="AH420" s="121"/>
      <c r="AI420" s="121"/>
      <c r="AJ420" s="121"/>
      <c r="AK420" s="121"/>
    </row>
    <row r="421" spans="2:37">
      <c r="B421" s="134"/>
      <c r="C421" s="57"/>
      <c r="D421" s="57"/>
      <c r="E421" s="57"/>
      <c r="F421" s="57"/>
      <c r="G421" s="57"/>
      <c r="H421" s="57"/>
      <c r="I421" s="57"/>
      <c r="J421" s="57"/>
      <c r="K421" s="57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  <c r="AB421" s="121"/>
      <c r="AC421" s="121"/>
      <c r="AD421" s="121"/>
      <c r="AE421" s="121"/>
      <c r="AF421" s="121"/>
      <c r="AG421" s="121"/>
      <c r="AH421" s="121"/>
      <c r="AI421" s="121"/>
      <c r="AJ421" s="121"/>
      <c r="AK421" s="121"/>
    </row>
    <row r="422" spans="2:37">
      <c r="B422" s="134"/>
      <c r="C422" s="57"/>
      <c r="D422" s="57"/>
      <c r="E422" s="57"/>
      <c r="F422" s="57"/>
      <c r="G422" s="57"/>
      <c r="H422" s="57"/>
      <c r="I422" s="57"/>
      <c r="J422" s="57"/>
      <c r="K422" s="57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  <c r="AB422" s="121"/>
      <c r="AC422" s="121"/>
      <c r="AD422" s="121"/>
      <c r="AE422" s="121"/>
      <c r="AF422" s="121"/>
      <c r="AG422" s="121"/>
      <c r="AH422" s="121"/>
      <c r="AI422" s="121"/>
      <c r="AJ422" s="121"/>
      <c r="AK422" s="121"/>
    </row>
    <row r="423" spans="2:37">
      <c r="B423" s="134"/>
      <c r="C423" s="57"/>
      <c r="D423" s="57"/>
      <c r="E423" s="57"/>
      <c r="F423" s="57"/>
      <c r="G423" s="57"/>
      <c r="H423" s="57"/>
      <c r="I423" s="57"/>
      <c r="J423" s="57"/>
      <c r="K423" s="57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  <c r="AB423" s="121"/>
      <c r="AC423" s="121"/>
      <c r="AD423" s="121"/>
      <c r="AE423" s="121"/>
      <c r="AF423" s="121"/>
      <c r="AG423" s="121"/>
      <c r="AH423" s="121"/>
      <c r="AI423" s="121"/>
      <c r="AJ423" s="121"/>
      <c r="AK423" s="121"/>
    </row>
    <row r="424" spans="2:37">
      <c r="B424" s="134"/>
      <c r="C424" s="57"/>
      <c r="D424" s="57"/>
      <c r="E424" s="57"/>
      <c r="F424" s="57"/>
      <c r="G424" s="57"/>
      <c r="H424" s="57"/>
      <c r="I424" s="57"/>
      <c r="J424" s="57"/>
      <c r="K424" s="57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</row>
    <row r="425" spans="2:37">
      <c r="B425" s="134"/>
      <c r="C425" s="57"/>
      <c r="D425" s="57"/>
      <c r="E425" s="57"/>
      <c r="F425" s="57"/>
      <c r="G425" s="57"/>
      <c r="H425" s="57"/>
      <c r="I425" s="57"/>
      <c r="J425" s="57"/>
      <c r="K425" s="57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</row>
    <row r="426" spans="2:37">
      <c r="B426" s="134"/>
      <c r="C426" s="57"/>
      <c r="D426" s="57"/>
      <c r="E426" s="57"/>
      <c r="F426" s="57"/>
      <c r="G426" s="57"/>
      <c r="H426" s="57"/>
      <c r="I426" s="57"/>
      <c r="J426" s="57"/>
      <c r="K426" s="57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  <c r="AC426" s="121"/>
      <c r="AD426" s="121"/>
      <c r="AE426" s="121"/>
      <c r="AF426" s="121"/>
      <c r="AG426" s="121"/>
      <c r="AH426" s="121"/>
      <c r="AI426" s="121"/>
      <c r="AJ426" s="121"/>
      <c r="AK426" s="121"/>
    </row>
    <row r="427" spans="2:37">
      <c r="B427" s="134"/>
      <c r="C427" s="57"/>
      <c r="D427" s="57"/>
      <c r="E427" s="57"/>
      <c r="F427" s="57"/>
      <c r="G427" s="57"/>
      <c r="H427" s="57"/>
      <c r="I427" s="57"/>
      <c r="J427" s="57"/>
      <c r="K427" s="57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1"/>
    </row>
    <row r="428" spans="2:37">
      <c r="B428" s="134"/>
      <c r="C428" s="57"/>
      <c r="D428" s="57"/>
      <c r="E428" s="57"/>
      <c r="F428" s="57"/>
      <c r="G428" s="57"/>
      <c r="H428" s="57"/>
      <c r="I428" s="57"/>
      <c r="J428" s="57"/>
      <c r="K428" s="57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</row>
    <row r="429" spans="2:37">
      <c r="B429" s="134"/>
      <c r="C429" s="57"/>
      <c r="D429" s="57"/>
      <c r="E429" s="57"/>
      <c r="F429" s="57"/>
      <c r="G429" s="57"/>
      <c r="H429" s="57"/>
      <c r="I429" s="57"/>
      <c r="J429" s="57"/>
      <c r="K429" s="57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</row>
    <row r="430" spans="2:37">
      <c r="B430" s="134"/>
      <c r="C430" s="57"/>
      <c r="D430" s="57"/>
      <c r="E430" s="57"/>
      <c r="F430" s="57"/>
      <c r="G430" s="57"/>
      <c r="H430" s="57"/>
      <c r="I430" s="57"/>
      <c r="J430" s="57"/>
      <c r="K430" s="57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</row>
    <row r="431" spans="2:37">
      <c r="B431" s="134"/>
      <c r="C431" s="57"/>
      <c r="D431" s="57"/>
      <c r="E431" s="57"/>
      <c r="F431" s="57"/>
      <c r="G431" s="57"/>
      <c r="H431" s="57"/>
      <c r="I431" s="57"/>
      <c r="J431" s="57"/>
      <c r="K431" s="57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</row>
    <row r="432" spans="2:37">
      <c r="B432" s="134"/>
      <c r="C432" s="57"/>
      <c r="D432" s="57"/>
      <c r="E432" s="57"/>
      <c r="F432" s="57"/>
      <c r="G432" s="57"/>
      <c r="H432" s="57"/>
      <c r="I432" s="57"/>
      <c r="J432" s="57"/>
      <c r="K432" s="57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</row>
    <row r="433" spans="2:37">
      <c r="B433" s="134"/>
      <c r="C433" s="57"/>
      <c r="D433" s="57"/>
      <c r="E433" s="57"/>
      <c r="F433" s="57"/>
      <c r="G433" s="57"/>
      <c r="H433" s="57"/>
      <c r="I433" s="57"/>
      <c r="J433" s="57"/>
      <c r="K433" s="57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</row>
    <row r="434" spans="2:37">
      <c r="B434" s="134"/>
      <c r="C434" s="57"/>
      <c r="D434" s="57"/>
      <c r="E434" s="57"/>
      <c r="F434" s="57"/>
      <c r="G434" s="57"/>
      <c r="H434" s="57"/>
      <c r="I434" s="57"/>
      <c r="J434" s="57"/>
      <c r="K434" s="57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</row>
    <row r="435" spans="2:37">
      <c r="B435" s="134"/>
      <c r="C435" s="57"/>
      <c r="D435" s="57"/>
      <c r="E435" s="57"/>
      <c r="F435" s="57"/>
      <c r="G435" s="57"/>
      <c r="H435" s="57"/>
      <c r="I435" s="57"/>
      <c r="J435" s="57"/>
      <c r="K435" s="57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</row>
    <row r="436" spans="2:37">
      <c r="B436" s="134"/>
      <c r="C436" s="57"/>
      <c r="D436" s="57"/>
      <c r="E436" s="57"/>
      <c r="F436" s="57"/>
      <c r="G436" s="57"/>
      <c r="H436" s="57"/>
      <c r="I436" s="57"/>
      <c r="J436" s="57"/>
      <c r="K436" s="57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</row>
    <row r="437" spans="2:37">
      <c r="B437" s="134"/>
      <c r="C437" s="57"/>
      <c r="D437" s="57"/>
      <c r="E437" s="57"/>
      <c r="F437" s="57"/>
      <c r="G437" s="57"/>
      <c r="H437" s="57"/>
      <c r="I437" s="57"/>
      <c r="J437" s="57"/>
      <c r="K437" s="57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</row>
    <row r="438" spans="2:37">
      <c r="B438" s="134"/>
      <c r="C438" s="57"/>
      <c r="D438" s="57"/>
      <c r="E438" s="57"/>
      <c r="F438" s="57"/>
      <c r="G438" s="57"/>
      <c r="H438" s="57"/>
      <c r="I438" s="57"/>
      <c r="J438" s="57"/>
      <c r="K438" s="57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1"/>
      <c r="AH438" s="121"/>
      <c r="AI438" s="121"/>
      <c r="AJ438" s="121"/>
      <c r="AK438" s="121"/>
    </row>
    <row r="439" spans="2:37">
      <c r="B439" s="134"/>
      <c r="C439" s="57"/>
      <c r="D439" s="57"/>
      <c r="E439" s="57"/>
      <c r="F439" s="57"/>
      <c r="G439" s="57"/>
      <c r="H439" s="57"/>
      <c r="I439" s="57"/>
      <c r="J439" s="57"/>
      <c r="K439" s="57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  <c r="AC439" s="121"/>
      <c r="AD439" s="121"/>
      <c r="AE439" s="121"/>
      <c r="AF439" s="121"/>
      <c r="AG439" s="121"/>
      <c r="AH439" s="121"/>
      <c r="AI439" s="121"/>
      <c r="AJ439" s="121"/>
      <c r="AK439" s="121"/>
    </row>
    <row r="440" spans="2:37">
      <c r="B440" s="134"/>
      <c r="C440" s="57"/>
      <c r="D440" s="57"/>
      <c r="E440" s="57"/>
      <c r="F440" s="57"/>
      <c r="G440" s="57"/>
      <c r="H440" s="57"/>
      <c r="I440" s="57"/>
      <c r="J440" s="57"/>
      <c r="K440" s="57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  <c r="AC440" s="121"/>
      <c r="AD440" s="121"/>
      <c r="AE440" s="121"/>
      <c r="AF440" s="121"/>
      <c r="AG440" s="121"/>
      <c r="AH440" s="121"/>
      <c r="AI440" s="121"/>
      <c r="AJ440" s="121"/>
      <c r="AK440" s="121"/>
    </row>
    <row r="441" spans="2:37">
      <c r="B441" s="134"/>
      <c r="C441" s="57"/>
      <c r="D441" s="57"/>
      <c r="E441" s="57"/>
      <c r="F441" s="57"/>
      <c r="G441" s="57"/>
      <c r="H441" s="57"/>
      <c r="I441" s="57"/>
      <c r="J441" s="57"/>
      <c r="K441" s="57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  <c r="AC441" s="121"/>
      <c r="AD441" s="121"/>
      <c r="AE441" s="121"/>
      <c r="AF441" s="121"/>
      <c r="AG441" s="121"/>
      <c r="AH441" s="121"/>
      <c r="AI441" s="121"/>
      <c r="AJ441" s="121"/>
      <c r="AK441" s="121"/>
    </row>
    <row r="442" spans="2:37">
      <c r="B442" s="134"/>
      <c r="C442" s="57"/>
      <c r="D442" s="57"/>
      <c r="E442" s="57"/>
      <c r="F442" s="57"/>
      <c r="G442" s="57"/>
      <c r="H442" s="57"/>
      <c r="I442" s="57"/>
      <c r="J442" s="57"/>
      <c r="K442" s="57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  <c r="AC442" s="121"/>
      <c r="AD442" s="121"/>
      <c r="AE442" s="121"/>
      <c r="AF442" s="121"/>
      <c r="AG442" s="121"/>
      <c r="AH442" s="121"/>
      <c r="AI442" s="121"/>
      <c r="AJ442" s="121"/>
      <c r="AK442" s="121"/>
    </row>
    <row r="443" spans="2:37">
      <c r="B443" s="134"/>
      <c r="C443" s="57"/>
      <c r="D443" s="57"/>
      <c r="E443" s="57"/>
      <c r="F443" s="57"/>
      <c r="G443" s="57"/>
      <c r="H443" s="57"/>
      <c r="I443" s="57"/>
      <c r="J443" s="57"/>
      <c r="K443" s="57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  <c r="AC443" s="121"/>
      <c r="AD443" s="121"/>
      <c r="AE443" s="121"/>
      <c r="AF443" s="121"/>
      <c r="AG443" s="121"/>
      <c r="AH443" s="121"/>
      <c r="AI443" s="121"/>
      <c r="AJ443" s="121"/>
      <c r="AK443" s="121"/>
    </row>
    <row r="444" spans="2:37">
      <c r="B444" s="134"/>
      <c r="C444" s="57"/>
      <c r="D444" s="57"/>
      <c r="E444" s="57"/>
      <c r="F444" s="57"/>
      <c r="G444" s="57"/>
      <c r="H444" s="57"/>
      <c r="I444" s="57"/>
      <c r="J444" s="57"/>
      <c r="K444" s="57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  <c r="AC444" s="121"/>
      <c r="AD444" s="121"/>
      <c r="AE444" s="121"/>
      <c r="AF444" s="121"/>
      <c r="AG444" s="121"/>
      <c r="AH444" s="121"/>
      <c r="AI444" s="121"/>
      <c r="AJ444" s="121"/>
      <c r="AK444" s="121"/>
    </row>
    <row r="445" spans="2:37">
      <c r="B445" s="134"/>
      <c r="C445" s="57"/>
      <c r="D445" s="57"/>
      <c r="E445" s="57"/>
      <c r="F445" s="57"/>
      <c r="G445" s="57"/>
      <c r="H445" s="57"/>
      <c r="I445" s="57"/>
      <c r="J445" s="57"/>
      <c r="K445" s="57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  <c r="AC445" s="121"/>
      <c r="AD445" s="121"/>
      <c r="AE445" s="121"/>
      <c r="AF445" s="121"/>
      <c r="AG445" s="121"/>
      <c r="AH445" s="121"/>
      <c r="AI445" s="121"/>
      <c r="AJ445" s="121"/>
      <c r="AK445" s="121"/>
    </row>
    <row r="446" spans="2:37">
      <c r="B446" s="134"/>
      <c r="C446" s="57"/>
      <c r="D446" s="57"/>
      <c r="E446" s="57"/>
      <c r="F446" s="57"/>
      <c r="G446" s="57"/>
      <c r="H446" s="57"/>
      <c r="I446" s="57"/>
      <c r="J446" s="57"/>
      <c r="K446" s="57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  <c r="AC446" s="121"/>
      <c r="AD446" s="121"/>
      <c r="AE446" s="121"/>
      <c r="AF446" s="121"/>
      <c r="AG446" s="121"/>
      <c r="AH446" s="121"/>
      <c r="AI446" s="121"/>
      <c r="AJ446" s="121"/>
      <c r="AK446" s="121"/>
    </row>
    <row r="447" spans="2:37">
      <c r="B447" s="134"/>
      <c r="C447" s="57"/>
      <c r="D447" s="57"/>
      <c r="E447" s="57"/>
      <c r="F447" s="57"/>
      <c r="G447" s="57"/>
      <c r="H447" s="57"/>
      <c r="I447" s="57"/>
      <c r="J447" s="57"/>
      <c r="K447" s="57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  <c r="AC447" s="121"/>
      <c r="AD447" s="121"/>
      <c r="AE447" s="121"/>
      <c r="AF447" s="121"/>
      <c r="AG447" s="121"/>
      <c r="AH447" s="121"/>
      <c r="AI447" s="121"/>
      <c r="AJ447" s="121"/>
      <c r="AK447" s="121"/>
    </row>
    <row r="448" spans="2:37">
      <c r="B448" s="134"/>
      <c r="C448" s="57"/>
      <c r="D448" s="57"/>
      <c r="E448" s="57"/>
      <c r="F448" s="57"/>
      <c r="G448" s="57"/>
      <c r="H448" s="57"/>
      <c r="I448" s="57"/>
      <c r="J448" s="57"/>
      <c r="K448" s="57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  <c r="AC448" s="121"/>
      <c r="AD448" s="121"/>
      <c r="AE448" s="121"/>
      <c r="AF448" s="121"/>
      <c r="AG448" s="121"/>
      <c r="AH448" s="121"/>
      <c r="AI448" s="121"/>
      <c r="AJ448" s="121"/>
      <c r="AK448" s="121"/>
    </row>
    <row r="449" spans="2:37">
      <c r="B449" s="134"/>
      <c r="C449" s="57"/>
      <c r="D449" s="57"/>
      <c r="E449" s="57"/>
      <c r="F449" s="57"/>
      <c r="G449" s="57"/>
      <c r="H449" s="57"/>
      <c r="I449" s="57"/>
      <c r="J449" s="57"/>
      <c r="K449" s="57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  <c r="AB449" s="121"/>
      <c r="AC449" s="121"/>
      <c r="AD449" s="121"/>
      <c r="AE449" s="121"/>
      <c r="AF449" s="121"/>
      <c r="AG449" s="121"/>
      <c r="AH449" s="121"/>
      <c r="AI449" s="121"/>
      <c r="AJ449" s="121"/>
      <c r="AK449" s="121"/>
    </row>
    <row r="450" spans="2:37">
      <c r="B450" s="134"/>
      <c r="C450" s="57"/>
      <c r="D450" s="57"/>
      <c r="E450" s="57"/>
      <c r="F450" s="57"/>
      <c r="G450" s="57"/>
      <c r="H450" s="57"/>
      <c r="I450" s="57"/>
      <c r="J450" s="57"/>
      <c r="K450" s="57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  <c r="AB450" s="121"/>
      <c r="AC450" s="121"/>
      <c r="AD450" s="121"/>
      <c r="AE450" s="121"/>
      <c r="AF450" s="121"/>
      <c r="AG450" s="121"/>
      <c r="AH450" s="121"/>
      <c r="AI450" s="121"/>
      <c r="AJ450" s="121"/>
      <c r="AK450" s="121"/>
    </row>
    <row r="451" spans="2:37">
      <c r="B451" s="134"/>
      <c r="C451" s="57"/>
      <c r="D451" s="57"/>
      <c r="E451" s="57"/>
      <c r="F451" s="57"/>
      <c r="G451" s="57"/>
      <c r="H451" s="57"/>
      <c r="I451" s="57"/>
      <c r="J451" s="57"/>
      <c r="K451" s="57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  <c r="AC451" s="121"/>
      <c r="AD451" s="121"/>
      <c r="AE451" s="121"/>
      <c r="AF451" s="121"/>
      <c r="AG451" s="121"/>
      <c r="AH451" s="121"/>
      <c r="AI451" s="121"/>
      <c r="AJ451" s="121"/>
      <c r="AK451" s="121"/>
    </row>
    <row r="452" spans="2:37">
      <c r="B452" s="134"/>
      <c r="C452" s="57"/>
      <c r="D452" s="57"/>
      <c r="E452" s="57"/>
      <c r="F452" s="57"/>
      <c r="G452" s="57"/>
      <c r="H452" s="57"/>
      <c r="I452" s="57"/>
      <c r="J452" s="57"/>
      <c r="K452" s="57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  <c r="AB452" s="121"/>
      <c r="AC452" s="121"/>
      <c r="AD452" s="121"/>
      <c r="AE452" s="121"/>
      <c r="AF452" s="121"/>
      <c r="AG452" s="121"/>
      <c r="AH452" s="121"/>
      <c r="AI452" s="121"/>
      <c r="AJ452" s="121"/>
      <c r="AK452" s="121"/>
    </row>
    <row r="453" spans="2:37">
      <c r="B453" s="134"/>
      <c r="C453" s="57"/>
      <c r="D453" s="57"/>
      <c r="E453" s="57"/>
      <c r="F453" s="57"/>
      <c r="G453" s="57"/>
      <c r="H453" s="57"/>
      <c r="I453" s="57"/>
      <c r="J453" s="57"/>
      <c r="K453" s="57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  <c r="AB453" s="121"/>
      <c r="AC453" s="121"/>
      <c r="AD453" s="121"/>
      <c r="AE453" s="121"/>
      <c r="AF453" s="121"/>
      <c r="AG453" s="121"/>
      <c r="AH453" s="121"/>
      <c r="AI453" s="121"/>
      <c r="AJ453" s="121"/>
      <c r="AK453" s="121"/>
    </row>
    <row r="454" spans="2:37">
      <c r="B454" s="134"/>
      <c r="C454" s="57"/>
      <c r="D454" s="57"/>
      <c r="E454" s="57"/>
      <c r="F454" s="57"/>
      <c r="G454" s="57"/>
      <c r="H454" s="57"/>
      <c r="I454" s="57"/>
      <c r="J454" s="57"/>
      <c r="K454" s="57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  <c r="AC454" s="121"/>
      <c r="AD454" s="121"/>
      <c r="AE454" s="121"/>
      <c r="AF454" s="121"/>
      <c r="AG454" s="121"/>
      <c r="AH454" s="121"/>
      <c r="AI454" s="121"/>
      <c r="AJ454" s="121"/>
      <c r="AK454" s="121"/>
    </row>
    <row r="455" spans="2:37">
      <c r="B455" s="134"/>
      <c r="C455" s="57"/>
      <c r="D455" s="57"/>
      <c r="E455" s="57"/>
      <c r="F455" s="57"/>
      <c r="G455" s="57"/>
      <c r="H455" s="57"/>
      <c r="I455" s="57"/>
      <c r="J455" s="57"/>
      <c r="K455" s="57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  <c r="AB455" s="121"/>
      <c r="AC455" s="121"/>
      <c r="AD455" s="121"/>
      <c r="AE455" s="121"/>
      <c r="AF455" s="121"/>
      <c r="AG455" s="121"/>
      <c r="AH455" s="121"/>
      <c r="AI455" s="121"/>
      <c r="AJ455" s="121"/>
      <c r="AK455" s="121"/>
    </row>
    <row r="456" spans="2:37">
      <c r="B456" s="134"/>
      <c r="C456" s="57"/>
      <c r="D456" s="57"/>
      <c r="E456" s="57"/>
      <c r="F456" s="57"/>
      <c r="G456" s="57"/>
      <c r="H456" s="57"/>
      <c r="I456" s="57"/>
      <c r="J456" s="57"/>
      <c r="K456" s="57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  <c r="AB456" s="121"/>
      <c r="AC456" s="121"/>
      <c r="AD456" s="121"/>
      <c r="AE456" s="121"/>
      <c r="AF456" s="121"/>
      <c r="AG456" s="121"/>
      <c r="AH456" s="121"/>
      <c r="AI456" s="121"/>
      <c r="AJ456" s="121"/>
      <c r="AK456" s="121"/>
    </row>
    <row r="457" spans="2:37">
      <c r="B457" s="134"/>
      <c r="C457" s="57"/>
      <c r="D457" s="57"/>
      <c r="E457" s="57"/>
      <c r="F457" s="57"/>
      <c r="G457" s="57"/>
      <c r="H457" s="57"/>
      <c r="I457" s="57"/>
      <c r="J457" s="57"/>
      <c r="K457" s="57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  <c r="AB457" s="121"/>
      <c r="AC457" s="121"/>
      <c r="AD457" s="121"/>
      <c r="AE457" s="121"/>
      <c r="AF457" s="121"/>
      <c r="AG457" s="121"/>
      <c r="AH457" s="121"/>
      <c r="AI457" s="121"/>
      <c r="AJ457" s="121"/>
      <c r="AK457" s="121"/>
    </row>
    <row r="458" spans="2:37">
      <c r="B458" s="134"/>
      <c r="C458" s="57"/>
      <c r="D458" s="57"/>
      <c r="E458" s="57"/>
      <c r="F458" s="57"/>
      <c r="G458" s="57"/>
      <c r="H458" s="57"/>
      <c r="I458" s="57"/>
      <c r="J458" s="57"/>
      <c r="K458" s="57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  <c r="AB458" s="121"/>
      <c r="AC458" s="121"/>
      <c r="AD458" s="121"/>
      <c r="AE458" s="121"/>
      <c r="AF458" s="121"/>
      <c r="AG458" s="121"/>
      <c r="AH458" s="121"/>
      <c r="AI458" s="121"/>
      <c r="AJ458" s="121"/>
      <c r="AK458" s="121"/>
    </row>
    <row r="459" spans="2:37">
      <c r="B459" s="134"/>
      <c r="C459" s="57"/>
      <c r="D459" s="57"/>
      <c r="E459" s="57"/>
      <c r="F459" s="57"/>
      <c r="G459" s="57"/>
      <c r="H459" s="57"/>
      <c r="I459" s="57"/>
      <c r="J459" s="57"/>
      <c r="K459" s="57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  <c r="AB459" s="121"/>
      <c r="AC459" s="121"/>
      <c r="AD459" s="121"/>
      <c r="AE459" s="121"/>
      <c r="AF459" s="121"/>
      <c r="AG459" s="121"/>
      <c r="AH459" s="121"/>
      <c r="AI459" s="121"/>
      <c r="AJ459" s="121"/>
      <c r="AK459" s="121"/>
    </row>
    <row r="460" spans="2:37">
      <c r="B460" s="134"/>
      <c r="C460" s="57"/>
      <c r="D460" s="57"/>
      <c r="E460" s="57"/>
      <c r="F460" s="57"/>
      <c r="G460" s="57"/>
      <c r="H460" s="57"/>
      <c r="I460" s="57"/>
      <c r="J460" s="57"/>
      <c r="K460" s="57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  <c r="AB460" s="121"/>
      <c r="AC460" s="121"/>
      <c r="AD460" s="121"/>
      <c r="AE460" s="121"/>
      <c r="AF460" s="121"/>
      <c r="AG460" s="121"/>
      <c r="AH460" s="121"/>
      <c r="AI460" s="121"/>
      <c r="AJ460" s="121"/>
      <c r="AK460" s="121"/>
    </row>
    <row r="461" spans="2:37">
      <c r="B461" s="134"/>
      <c r="C461" s="57"/>
      <c r="D461" s="57"/>
      <c r="E461" s="57"/>
      <c r="F461" s="57"/>
      <c r="G461" s="57"/>
      <c r="H461" s="57"/>
      <c r="I461" s="57"/>
      <c r="J461" s="57"/>
      <c r="K461" s="57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  <c r="AC461" s="121"/>
      <c r="AD461" s="121"/>
      <c r="AE461" s="121"/>
      <c r="AF461" s="121"/>
      <c r="AG461" s="121"/>
      <c r="AH461" s="121"/>
      <c r="AI461" s="121"/>
      <c r="AJ461" s="121"/>
      <c r="AK461" s="121"/>
    </row>
    <row r="462" spans="2:37">
      <c r="B462" s="134"/>
      <c r="C462" s="57"/>
      <c r="D462" s="57"/>
      <c r="E462" s="57"/>
      <c r="F462" s="57"/>
      <c r="G462" s="57"/>
      <c r="H462" s="57"/>
      <c r="I462" s="57"/>
      <c r="J462" s="57"/>
      <c r="K462" s="57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</row>
    <row r="463" spans="2:37">
      <c r="B463" s="134"/>
      <c r="C463" s="57"/>
      <c r="D463" s="57"/>
      <c r="E463" s="57"/>
      <c r="F463" s="57"/>
      <c r="G463" s="57"/>
      <c r="H463" s="57"/>
      <c r="I463" s="57"/>
      <c r="J463" s="57"/>
      <c r="K463" s="57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</row>
    <row r="464" spans="2:37">
      <c r="B464" s="134"/>
      <c r="C464" s="57"/>
      <c r="D464" s="57"/>
      <c r="E464" s="57"/>
      <c r="F464" s="57"/>
      <c r="G464" s="57"/>
      <c r="H464" s="57"/>
      <c r="I464" s="57"/>
      <c r="J464" s="57"/>
      <c r="K464" s="57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  <c r="AB464" s="121"/>
      <c r="AC464" s="121"/>
      <c r="AD464" s="121"/>
      <c r="AE464" s="121"/>
      <c r="AF464" s="121"/>
      <c r="AG464" s="121"/>
      <c r="AH464" s="121"/>
      <c r="AI464" s="121"/>
      <c r="AJ464" s="121"/>
      <c r="AK464" s="121"/>
    </row>
    <row r="465" spans="2:37">
      <c r="B465" s="134"/>
      <c r="C465" s="57"/>
      <c r="D465" s="57"/>
      <c r="E465" s="57"/>
      <c r="F465" s="57"/>
      <c r="G465" s="57"/>
      <c r="H465" s="57"/>
      <c r="I465" s="57"/>
      <c r="J465" s="57"/>
      <c r="K465" s="57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1"/>
    </row>
    <row r="466" spans="2:37">
      <c r="B466" s="134"/>
      <c r="C466" s="57"/>
      <c r="D466" s="57"/>
      <c r="E466" s="57"/>
      <c r="F466" s="57"/>
      <c r="G466" s="57"/>
      <c r="H466" s="57"/>
      <c r="I466" s="57"/>
      <c r="J466" s="57"/>
      <c r="K466" s="57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</row>
    <row r="467" spans="2:37">
      <c r="B467" s="134"/>
      <c r="C467" s="57"/>
      <c r="D467" s="57"/>
      <c r="E467" s="57"/>
      <c r="F467" s="57"/>
      <c r="G467" s="57"/>
      <c r="H467" s="57"/>
      <c r="I467" s="57"/>
      <c r="J467" s="57"/>
      <c r="K467" s="57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</row>
    <row r="468" spans="2:37">
      <c r="B468" s="134"/>
      <c r="C468" s="57"/>
      <c r="D468" s="57"/>
      <c r="E468" s="57"/>
      <c r="F468" s="57"/>
      <c r="G468" s="57"/>
      <c r="H468" s="57"/>
      <c r="I468" s="57"/>
      <c r="J468" s="57"/>
      <c r="K468" s="57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</row>
    <row r="469" spans="2:37">
      <c r="B469" s="134"/>
      <c r="C469" s="57"/>
      <c r="D469" s="57"/>
      <c r="E469" s="57"/>
      <c r="F469" s="57"/>
      <c r="G469" s="57"/>
      <c r="H469" s="57"/>
      <c r="I469" s="57"/>
      <c r="J469" s="57"/>
      <c r="K469" s="57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</row>
    <row r="470" spans="2:37">
      <c r="B470" s="134"/>
      <c r="C470" s="57"/>
      <c r="D470" s="57"/>
      <c r="E470" s="57"/>
      <c r="F470" s="57"/>
      <c r="G470" s="57"/>
      <c r="H470" s="57"/>
      <c r="I470" s="57"/>
      <c r="J470" s="57"/>
      <c r="K470" s="57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</row>
    <row r="471" spans="2:37">
      <c r="B471" s="134"/>
      <c r="C471" s="57"/>
      <c r="D471" s="57"/>
      <c r="E471" s="57"/>
      <c r="F471" s="57"/>
      <c r="G471" s="57"/>
      <c r="H471" s="57"/>
      <c r="I471" s="57"/>
      <c r="J471" s="57"/>
      <c r="K471" s="57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</row>
    <row r="472" spans="2:37">
      <c r="B472" s="134"/>
      <c r="C472" s="57"/>
      <c r="D472" s="57"/>
      <c r="E472" s="57"/>
      <c r="F472" s="57"/>
      <c r="G472" s="57"/>
      <c r="H472" s="57"/>
      <c r="I472" s="57"/>
      <c r="J472" s="57"/>
      <c r="K472" s="57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</row>
    <row r="473" spans="2:37">
      <c r="B473" s="134"/>
      <c r="C473" s="57"/>
      <c r="D473" s="57"/>
      <c r="E473" s="57"/>
      <c r="F473" s="57"/>
      <c r="G473" s="57"/>
      <c r="H473" s="57"/>
      <c r="I473" s="57"/>
      <c r="J473" s="57"/>
      <c r="K473" s="57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</row>
    <row r="474" spans="2:37">
      <c r="B474" s="134"/>
      <c r="C474" s="57"/>
      <c r="D474" s="57"/>
      <c r="E474" s="57"/>
      <c r="F474" s="57"/>
      <c r="G474" s="57"/>
      <c r="H474" s="57"/>
      <c r="I474" s="57"/>
      <c r="J474" s="57"/>
      <c r="K474" s="57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</row>
    <row r="475" spans="2:37">
      <c r="B475" s="134"/>
      <c r="C475" s="57"/>
      <c r="D475" s="57"/>
      <c r="E475" s="57"/>
      <c r="F475" s="57"/>
      <c r="G475" s="57"/>
      <c r="H475" s="57"/>
      <c r="I475" s="57"/>
      <c r="J475" s="57"/>
      <c r="K475" s="57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</row>
    <row r="476" spans="2:37">
      <c r="B476" s="134"/>
      <c r="C476" s="57"/>
      <c r="D476" s="57"/>
      <c r="E476" s="57"/>
      <c r="F476" s="57"/>
      <c r="G476" s="57"/>
      <c r="H476" s="57"/>
      <c r="I476" s="57"/>
      <c r="J476" s="57"/>
      <c r="K476" s="57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  <c r="AB476" s="121"/>
      <c r="AC476" s="121"/>
      <c r="AD476" s="121"/>
      <c r="AE476" s="121"/>
      <c r="AF476" s="121"/>
      <c r="AG476" s="121"/>
      <c r="AH476" s="121"/>
      <c r="AI476" s="121"/>
      <c r="AJ476" s="121"/>
      <c r="AK476" s="121"/>
    </row>
    <row r="477" spans="2:37">
      <c r="B477" s="134"/>
      <c r="C477" s="57"/>
      <c r="D477" s="57"/>
      <c r="E477" s="57"/>
      <c r="F477" s="57"/>
      <c r="G477" s="57"/>
      <c r="H477" s="57"/>
      <c r="I477" s="57"/>
      <c r="J477" s="57"/>
      <c r="K477" s="57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  <c r="AB477" s="121"/>
      <c r="AC477" s="121"/>
      <c r="AD477" s="121"/>
      <c r="AE477" s="121"/>
      <c r="AF477" s="121"/>
      <c r="AG477" s="121"/>
      <c r="AH477" s="121"/>
      <c r="AI477" s="121"/>
      <c r="AJ477" s="121"/>
      <c r="AK477" s="121"/>
    </row>
    <row r="478" spans="2:37">
      <c r="B478" s="134"/>
      <c r="C478" s="57"/>
      <c r="D478" s="57"/>
      <c r="E478" s="57"/>
      <c r="F478" s="57"/>
      <c r="G478" s="57"/>
      <c r="H478" s="57"/>
      <c r="I478" s="57"/>
      <c r="J478" s="57"/>
      <c r="K478" s="57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  <c r="AC478" s="121"/>
      <c r="AD478" s="121"/>
      <c r="AE478" s="121"/>
      <c r="AF478" s="121"/>
      <c r="AG478" s="121"/>
      <c r="AH478" s="121"/>
      <c r="AI478" s="121"/>
      <c r="AJ478" s="121"/>
      <c r="AK478" s="121"/>
    </row>
    <row r="479" spans="2:37">
      <c r="B479" s="134"/>
      <c r="C479" s="57"/>
      <c r="D479" s="57"/>
      <c r="E479" s="57"/>
      <c r="F479" s="57"/>
      <c r="G479" s="57"/>
      <c r="H479" s="57"/>
      <c r="I479" s="57"/>
      <c r="J479" s="57"/>
      <c r="K479" s="57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  <c r="AC479" s="121"/>
      <c r="AD479" s="121"/>
      <c r="AE479" s="121"/>
      <c r="AF479" s="121"/>
      <c r="AG479" s="121"/>
      <c r="AH479" s="121"/>
      <c r="AI479" s="121"/>
      <c r="AJ479" s="121"/>
      <c r="AK479" s="121"/>
    </row>
    <row r="480" spans="2:37">
      <c r="B480" s="134"/>
      <c r="C480" s="57"/>
      <c r="D480" s="57"/>
      <c r="E480" s="57"/>
      <c r="F480" s="57"/>
      <c r="G480" s="57"/>
      <c r="H480" s="57"/>
      <c r="I480" s="57"/>
      <c r="J480" s="57"/>
      <c r="K480" s="57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  <c r="AB480" s="121"/>
      <c r="AC480" s="121"/>
      <c r="AD480" s="121"/>
      <c r="AE480" s="121"/>
      <c r="AF480" s="121"/>
      <c r="AG480" s="121"/>
      <c r="AH480" s="121"/>
      <c r="AI480" s="121"/>
      <c r="AJ480" s="121"/>
      <c r="AK480" s="121"/>
    </row>
    <row r="481" spans="2:37">
      <c r="B481" s="134"/>
      <c r="C481" s="57"/>
      <c r="D481" s="57"/>
      <c r="E481" s="57"/>
      <c r="F481" s="57"/>
      <c r="G481" s="57"/>
      <c r="H481" s="57"/>
      <c r="I481" s="57"/>
      <c r="J481" s="57"/>
      <c r="K481" s="57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  <c r="AC481" s="121"/>
      <c r="AD481" s="121"/>
      <c r="AE481" s="121"/>
      <c r="AF481" s="121"/>
      <c r="AG481" s="121"/>
      <c r="AH481" s="121"/>
      <c r="AI481" s="121"/>
      <c r="AJ481" s="121"/>
      <c r="AK481" s="121"/>
    </row>
    <row r="482" spans="2:37">
      <c r="B482" s="134"/>
      <c r="C482" s="57"/>
      <c r="D482" s="57"/>
      <c r="E482" s="57"/>
      <c r="F482" s="57"/>
      <c r="G482" s="57"/>
      <c r="H482" s="57"/>
      <c r="I482" s="57"/>
      <c r="J482" s="57"/>
      <c r="K482" s="57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1"/>
      <c r="AH482" s="121"/>
      <c r="AI482" s="121"/>
      <c r="AJ482" s="121"/>
      <c r="AK482" s="121"/>
    </row>
    <row r="483" spans="2:37">
      <c r="B483" s="134"/>
      <c r="C483" s="57"/>
      <c r="D483" s="57"/>
      <c r="E483" s="57"/>
      <c r="F483" s="57"/>
      <c r="G483" s="57"/>
      <c r="H483" s="57"/>
      <c r="I483" s="57"/>
      <c r="J483" s="57"/>
      <c r="K483" s="57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1"/>
      <c r="AH483" s="121"/>
      <c r="AI483" s="121"/>
      <c r="AJ483" s="121"/>
      <c r="AK483" s="121"/>
    </row>
    <row r="484" spans="2:37">
      <c r="B484" s="134"/>
      <c r="C484" s="57"/>
      <c r="D484" s="57"/>
      <c r="E484" s="57"/>
      <c r="F484" s="57"/>
      <c r="G484" s="57"/>
      <c r="H484" s="57"/>
      <c r="I484" s="57"/>
      <c r="J484" s="57"/>
      <c r="K484" s="57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1"/>
      <c r="AH484" s="121"/>
      <c r="AI484" s="121"/>
      <c r="AJ484" s="121"/>
      <c r="AK484" s="121"/>
    </row>
    <row r="485" spans="2:37">
      <c r="B485" s="134"/>
      <c r="C485" s="57"/>
      <c r="D485" s="57"/>
      <c r="E485" s="57"/>
      <c r="F485" s="57"/>
      <c r="G485" s="57"/>
      <c r="H485" s="57"/>
      <c r="I485" s="57"/>
      <c r="J485" s="57"/>
      <c r="K485" s="57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1"/>
      <c r="AH485" s="121"/>
      <c r="AI485" s="121"/>
      <c r="AJ485" s="121"/>
      <c r="AK485" s="121"/>
    </row>
    <row r="486" spans="2:37">
      <c r="B486" s="134"/>
      <c r="C486" s="57"/>
      <c r="D486" s="57"/>
      <c r="E486" s="57"/>
      <c r="F486" s="57"/>
      <c r="G486" s="57"/>
      <c r="H486" s="57"/>
      <c r="I486" s="57"/>
      <c r="J486" s="57"/>
      <c r="K486" s="57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1"/>
      <c r="AH486" s="121"/>
      <c r="AI486" s="121"/>
      <c r="AJ486" s="121"/>
      <c r="AK486" s="121"/>
    </row>
    <row r="487" spans="2:37">
      <c r="B487" s="134"/>
      <c r="C487" s="57"/>
      <c r="D487" s="57"/>
      <c r="E487" s="57"/>
      <c r="F487" s="57"/>
      <c r="G487" s="57"/>
      <c r="H487" s="57"/>
      <c r="I487" s="57"/>
      <c r="J487" s="57"/>
      <c r="K487" s="57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1"/>
      <c r="AH487" s="121"/>
      <c r="AI487" s="121"/>
      <c r="AJ487" s="121"/>
      <c r="AK487" s="121"/>
    </row>
    <row r="488" spans="2:37">
      <c r="B488" s="134"/>
      <c r="C488" s="57"/>
      <c r="D488" s="57"/>
      <c r="E488" s="57"/>
      <c r="F488" s="57"/>
      <c r="G488" s="57"/>
      <c r="H488" s="57"/>
      <c r="I488" s="57"/>
      <c r="J488" s="57"/>
      <c r="K488" s="57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1"/>
      <c r="AH488" s="121"/>
      <c r="AI488" s="121"/>
      <c r="AJ488" s="121"/>
      <c r="AK488" s="121"/>
    </row>
    <row r="489" spans="2:37">
      <c r="B489" s="134"/>
      <c r="C489" s="57"/>
      <c r="D489" s="57"/>
      <c r="E489" s="57"/>
      <c r="F489" s="57"/>
      <c r="G489" s="57"/>
      <c r="H489" s="57"/>
      <c r="I489" s="57"/>
      <c r="J489" s="57"/>
      <c r="K489" s="57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1"/>
      <c r="AH489" s="121"/>
      <c r="AI489" s="121"/>
      <c r="AJ489" s="121"/>
      <c r="AK489" s="121"/>
    </row>
    <row r="490" spans="2:37">
      <c r="B490" s="134"/>
      <c r="C490" s="57"/>
      <c r="D490" s="57"/>
      <c r="E490" s="57"/>
      <c r="F490" s="57"/>
      <c r="G490" s="57"/>
      <c r="H490" s="57"/>
      <c r="I490" s="57"/>
      <c r="J490" s="57"/>
      <c r="K490" s="57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1"/>
      <c r="AH490" s="121"/>
      <c r="AI490" s="121"/>
      <c r="AJ490" s="121"/>
      <c r="AK490" s="121"/>
    </row>
    <row r="491" spans="2:37">
      <c r="B491" s="134"/>
      <c r="C491" s="57"/>
      <c r="D491" s="57"/>
      <c r="E491" s="57"/>
      <c r="F491" s="57"/>
      <c r="G491" s="57"/>
      <c r="H491" s="57"/>
      <c r="I491" s="57"/>
      <c r="J491" s="57"/>
      <c r="K491" s="57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  <c r="AC491" s="121"/>
      <c r="AD491" s="121"/>
      <c r="AE491" s="121"/>
      <c r="AF491" s="121"/>
      <c r="AG491" s="121"/>
      <c r="AH491" s="121"/>
      <c r="AI491" s="121"/>
      <c r="AJ491" s="121"/>
      <c r="AK491" s="121"/>
    </row>
    <row r="492" spans="2:37">
      <c r="B492" s="134"/>
      <c r="C492" s="57"/>
      <c r="D492" s="57"/>
      <c r="E492" s="57"/>
      <c r="F492" s="57"/>
      <c r="G492" s="57"/>
      <c r="H492" s="57"/>
      <c r="I492" s="57"/>
      <c r="J492" s="57"/>
      <c r="K492" s="57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  <c r="AB492" s="121"/>
      <c r="AC492" s="121"/>
      <c r="AD492" s="121"/>
      <c r="AE492" s="121"/>
      <c r="AF492" s="121"/>
      <c r="AG492" s="121"/>
      <c r="AH492" s="121"/>
      <c r="AI492" s="121"/>
      <c r="AJ492" s="121"/>
      <c r="AK492" s="121"/>
    </row>
    <row r="493" spans="2:37">
      <c r="B493" s="134"/>
      <c r="C493" s="57"/>
      <c r="D493" s="57"/>
      <c r="E493" s="57"/>
      <c r="F493" s="57"/>
      <c r="G493" s="57"/>
      <c r="H493" s="57"/>
      <c r="I493" s="57"/>
      <c r="J493" s="57"/>
      <c r="K493" s="57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  <c r="AB493" s="121"/>
      <c r="AC493" s="121"/>
      <c r="AD493" s="121"/>
      <c r="AE493" s="121"/>
      <c r="AF493" s="121"/>
      <c r="AG493" s="121"/>
      <c r="AH493" s="121"/>
      <c r="AI493" s="121"/>
      <c r="AJ493" s="121"/>
      <c r="AK493" s="121"/>
    </row>
    <row r="494" spans="2:37">
      <c r="B494" s="134"/>
      <c r="C494" s="57"/>
      <c r="D494" s="57"/>
      <c r="E494" s="57"/>
      <c r="F494" s="57"/>
      <c r="G494" s="57"/>
      <c r="H494" s="57"/>
      <c r="I494" s="57"/>
      <c r="J494" s="57"/>
      <c r="K494" s="57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  <c r="AB494" s="121"/>
      <c r="AC494" s="121"/>
      <c r="AD494" s="121"/>
      <c r="AE494" s="121"/>
      <c r="AF494" s="121"/>
      <c r="AG494" s="121"/>
      <c r="AH494" s="121"/>
      <c r="AI494" s="121"/>
      <c r="AJ494" s="121"/>
      <c r="AK494" s="121"/>
    </row>
    <row r="495" spans="2:37">
      <c r="B495" s="134"/>
      <c r="C495" s="57"/>
      <c r="D495" s="57"/>
      <c r="E495" s="57"/>
      <c r="F495" s="57"/>
      <c r="G495" s="57"/>
      <c r="H495" s="57"/>
      <c r="I495" s="57"/>
      <c r="J495" s="57"/>
      <c r="K495" s="57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  <c r="AB495" s="121"/>
      <c r="AC495" s="121"/>
      <c r="AD495" s="121"/>
      <c r="AE495" s="121"/>
      <c r="AF495" s="121"/>
      <c r="AG495" s="121"/>
      <c r="AH495" s="121"/>
      <c r="AI495" s="121"/>
      <c r="AJ495" s="121"/>
      <c r="AK495" s="121"/>
    </row>
    <row r="496" spans="2:37">
      <c r="B496" s="134"/>
      <c r="C496" s="57"/>
      <c r="D496" s="57"/>
      <c r="E496" s="57"/>
      <c r="F496" s="57"/>
      <c r="G496" s="57"/>
      <c r="H496" s="57"/>
      <c r="I496" s="57"/>
      <c r="J496" s="57"/>
      <c r="K496" s="57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  <c r="AB496" s="121"/>
      <c r="AC496" s="121"/>
      <c r="AD496" s="121"/>
      <c r="AE496" s="121"/>
      <c r="AF496" s="121"/>
      <c r="AG496" s="121"/>
      <c r="AH496" s="121"/>
      <c r="AI496" s="121"/>
      <c r="AJ496" s="121"/>
      <c r="AK496" s="121"/>
    </row>
    <row r="497" spans="2:37">
      <c r="B497" s="134"/>
      <c r="C497" s="57"/>
      <c r="D497" s="57"/>
      <c r="E497" s="57"/>
      <c r="F497" s="57"/>
      <c r="G497" s="57"/>
      <c r="H497" s="57"/>
      <c r="I497" s="57"/>
      <c r="J497" s="57"/>
      <c r="K497" s="57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  <c r="AB497" s="121"/>
      <c r="AC497" s="121"/>
      <c r="AD497" s="121"/>
      <c r="AE497" s="121"/>
      <c r="AF497" s="121"/>
      <c r="AG497" s="121"/>
      <c r="AH497" s="121"/>
      <c r="AI497" s="121"/>
      <c r="AJ497" s="121"/>
      <c r="AK497" s="121"/>
    </row>
    <row r="498" spans="2:37">
      <c r="B498" s="134"/>
      <c r="C498" s="57"/>
      <c r="D498" s="57"/>
      <c r="E498" s="57"/>
      <c r="F498" s="57"/>
      <c r="G498" s="57"/>
      <c r="H498" s="57"/>
      <c r="I498" s="57"/>
      <c r="J498" s="57"/>
      <c r="K498" s="57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  <c r="AB498" s="121"/>
      <c r="AC498" s="121"/>
      <c r="AD498" s="121"/>
      <c r="AE498" s="121"/>
      <c r="AF498" s="121"/>
      <c r="AG498" s="121"/>
      <c r="AH498" s="121"/>
      <c r="AI498" s="121"/>
      <c r="AJ498" s="121"/>
      <c r="AK498" s="121"/>
    </row>
    <row r="499" spans="2:37">
      <c r="B499" s="134"/>
      <c r="C499" s="57"/>
      <c r="D499" s="57"/>
      <c r="E499" s="57"/>
      <c r="F499" s="57"/>
      <c r="G499" s="57"/>
      <c r="H499" s="57"/>
      <c r="I499" s="57"/>
      <c r="J499" s="57"/>
      <c r="K499" s="57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  <c r="AB499" s="121"/>
      <c r="AC499" s="121"/>
      <c r="AD499" s="121"/>
      <c r="AE499" s="121"/>
      <c r="AF499" s="121"/>
      <c r="AG499" s="121"/>
      <c r="AH499" s="121"/>
      <c r="AI499" s="121"/>
      <c r="AJ499" s="121"/>
      <c r="AK499" s="121"/>
    </row>
    <row r="500" spans="2:37">
      <c r="B500" s="134"/>
      <c r="C500" s="57"/>
      <c r="D500" s="57"/>
      <c r="E500" s="57"/>
      <c r="F500" s="57"/>
      <c r="G500" s="57"/>
      <c r="H500" s="57"/>
      <c r="I500" s="57"/>
      <c r="J500" s="57"/>
      <c r="K500" s="57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</row>
    <row r="501" spans="2:37">
      <c r="B501" s="134"/>
      <c r="C501" s="57"/>
      <c r="D501" s="57"/>
      <c r="E501" s="57"/>
      <c r="F501" s="57"/>
      <c r="G501" s="57"/>
      <c r="H501" s="57"/>
      <c r="I501" s="57"/>
      <c r="J501" s="57"/>
      <c r="K501" s="57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</row>
    <row r="502" spans="2:37">
      <c r="B502" s="134"/>
      <c r="C502" s="57"/>
      <c r="D502" s="57"/>
      <c r="E502" s="57"/>
      <c r="F502" s="57"/>
      <c r="G502" s="57"/>
      <c r="H502" s="57"/>
      <c r="I502" s="57"/>
      <c r="J502" s="57"/>
      <c r="K502" s="57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  <c r="AB502" s="121"/>
      <c r="AC502" s="121"/>
      <c r="AD502" s="121"/>
      <c r="AE502" s="121"/>
      <c r="AF502" s="121"/>
      <c r="AG502" s="121"/>
      <c r="AH502" s="121"/>
      <c r="AI502" s="121"/>
      <c r="AJ502" s="121"/>
      <c r="AK502" s="121"/>
    </row>
    <row r="503" spans="2:37">
      <c r="B503" s="134"/>
      <c r="C503" s="57"/>
      <c r="D503" s="57"/>
      <c r="E503" s="57"/>
      <c r="F503" s="57"/>
      <c r="G503" s="57"/>
      <c r="H503" s="57"/>
      <c r="I503" s="57"/>
      <c r="J503" s="57"/>
      <c r="K503" s="57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1"/>
    </row>
    <row r="504" spans="2:37">
      <c r="B504" s="134"/>
      <c r="C504" s="57"/>
      <c r="D504" s="57"/>
      <c r="E504" s="57"/>
      <c r="F504" s="57"/>
      <c r="G504" s="57"/>
      <c r="H504" s="57"/>
      <c r="I504" s="57"/>
      <c r="J504" s="57"/>
      <c r="K504" s="57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</row>
    <row r="505" spans="2:37">
      <c r="B505" s="134"/>
      <c r="C505" s="57"/>
      <c r="D505" s="57"/>
      <c r="E505" s="57"/>
      <c r="F505" s="57"/>
      <c r="G505" s="57"/>
      <c r="H505" s="57"/>
      <c r="I505" s="57"/>
      <c r="J505" s="57"/>
      <c r="K505" s="57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</row>
    <row r="506" spans="2:37">
      <c r="B506" s="134"/>
      <c r="C506" s="57"/>
      <c r="D506" s="57"/>
      <c r="E506" s="57"/>
      <c r="F506" s="57"/>
      <c r="G506" s="57"/>
      <c r="H506" s="57"/>
      <c r="I506" s="57"/>
      <c r="J506" s="57"/>
      <c r="K506" s="57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</row>
    <row r="507" spans="2:37">
      <c r="B507" s="134"/>
      <c r="C507" s="57"/>
      <c r="D507" s="57"/>
      <c r="E507" s="57"/>
      <c r="F507" s="57"/>
      <c r="G507" s="57"/>
      <c r="H507" s="57"/>
      <c r="I507" s="57"/>
      <c r="J507" s="57"/>
      <c r="K507" s="57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</row>
    <row r="508" spans="2:37">
      <c r="B508" s="134"/>
      <c r="C508" s="57"/>
      <c r="D508" s="57"/>
      <c r="E508" s="57"/>
      <c r="F508" s="57"/>
      <c r="G508" s="57"/>
      <c r="H508" s="57"/>
      <c r="I508" s="57"/>
      <c r="J508" s="57"/>
      <c r="K508" s="57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</row>
    <row r="509" spans="2:37">
      <c r="B509" s="134"/>
      <c r="C509" s="57"/>
      <c r="D509" s="57"/>
      <c r="E509" s="57"/>
      <c r="F509" s="57"/>
      <c r="G509" s="57"/>
      <c r="H509" s="57"/>
      <c r="I509" s="57"/>
      <c r="J509" s="57"/>
      <c r="K509" s="57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</row>
    <row r="510" spans="2:37">
      <c r="B510" s="134"/>
      <c r="C510" s="57"/>
      <c r="D510" s="57"/>
      <c r="E510" s="57"/>
      <c r="F510" s="57"/>
      <c r="G510" s="57"/>
      <c r="H510" s="57"/>
      <c r="I510" s="57"/>
      <c r="J510" s="57"/>
      <c r="K510" s="57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</row>
    <row r="511" spans="2:37">
      <c r="B511" s="134"/>
      <c r="C511" s="57"/>
      <c r="D511" s="57"/>
      <c r="E511" s="57"/>
      <c r="F511" s="57"/>
      <c r="G511" s="57"/>
      <c r="H511" s="57"/>
      <c r="I511" s="57"/>
      <c r="J511" s="57"/>
      <c r="K511" s="57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</row>
    <row r="512" spans="2:37">
      <c r="B512" s="134"/>
      <c r="C512" s="57"/>
      <c r="D512" s="57"/>
      <c r="E512" s="57"/>
      <c r="F512" s="57"/>
      <c r="G512" s="57"/>
      <c r="H512" s="57"/>
      <c r="I512" s="57"/>
      <c r="J512" s="57"/>
      <c r="K512" s="57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</row>
    <row r="513" spans="2:37">
      <c r="B513" s="134"/>
      <c r="C513" s="57"/>
      <c r="D513" s="57"/>
      <c r="E513" s="57"/>
      <c r="F513" s="57"/>
      <c r="G513" s="57"/>
      <c r="H513" s="57"/>
      <c r="I513" s="57"/>
      <c r="J513" s="57"/>
      <c r="K513" s="57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</row>
    <row r="514" spans="2:37">
      <c r="B514" s="134"/>
      <c r="C514" s="57"/>
      <c r="D514" s="57"/>
      <c r="E514" s="57"/>
      <c r="F514" s="57"/>
      <c r="G514" s="57"/>
      <c r="H514" s="57"/>
      <c r="I514" s="57"/>
      <c r="J514" s="57"/>
      <c r="K514" s="57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  <c r="AB514" s="121"/>
      <c r="AC514" s="121"/>
      <c r="AD514" s="121"/>
      <c r="AE514" s="121"/>
      <c r="AF514" s="121"/>
      <c r="AG514" s="121"/>
      <c r="AH514" s="121"/>
      <c r="AI514" s="121"/>
      <c r="AJ514" s="121"/>
      <c r="AK514" s="121"/>
    </row>
    <row r="515" spans="2:37">
      <c r="B515" s="134"/>
      <c r="C515" s="57"/>
      <c r="D515" s="57"/>
      <c r="E515" s="57"/>
      <c r="F515" s="57"/>
      <c r="G515" s="57"/>
      <c r="H515" s="57"/>
      <c r="I515" s="57"/>
      <c r="J515" s="57"/>
      <c r="K515" s="57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  <c r="AB515" s="121"/>
      <c r="AC515" s="121"/>
      <c r="AD515" s="121"/>
      <c r="AE515" s="121"/>
      <c r="AF515" s="121"/>
      <c r="AG515" s="121"/>
      <c r="AH515" s="121"/>
      <c r="AI515" s="121"/>
      <c r="AJ515" s="121"/>
      <c r="AK515" s="121"/>
    </row>
    <row r="516" spans="2:37">
      <c r="B516" s="134"/>
      <c r="C516" s="57"/>
      <c r="D516" s="57"/>
      <c r="E516" s="57"/>
      <c r="F516" s="57"/>
      <c r="G516" s="57"/>
      <c r="H516" s="57"/>
      <c r="I516" s="57"/>
      <c r="J516" s="57"/>
      <c r="K516" s="57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  <c r="AB516" s="121"/>
      <c r="AC516" s="121"/>
      <c r="AD516" s="121"/>
      <c r="AE516" s="121"/>
      <c r="AF516" s="121"/>
      <c r="AG516" s="121"/>
      <c r="AH516" s="121"/>
      <c r="AI516" s="121"/>
      <c r="AJ516" s="121"/>
      <c r="AK516" s="121"/>
    </row>
    <row r="517" spans="2:37">
      <c r="B517" s="134"/>
      <c r="C517" s="57"/>
      <c r="D517" s="57"/>
      <c r="E517" s="57"/>
      <c r="F517" s="57"/>
      <c r="G517" s="57"/>
      <c r="H517" s="57"/>
      <c r="I517" s="57"/>
      <c r="J517" s="57"/>
      <c r="K517" s="57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  <c r="AB517" s="121"/>
      <c r="AC517" s="121"/>
      <c r="AD517" s="121"/>
      <c r="AE517" s="121"/>
      <c r="AF517" s="121"/>
      <c r="AG517" s="121"/>
      <c r="AH517" s="121"/>
      <c r="AI517" s="121"/>
      <c r="AJ517" s="121"/>
      <c r="AK517" s="121"/>
    </row>
    <row r="518" spans="2:37">
      <c r="B518" s="134"/>
      <c r="C518" s="57"/>
      <c r="D518" s="57"/>
      <c r="E518" s="57"/>
      <c r="F518" s="57"/>
      <c r="G518" s="57"/>
      <c r="H518" s="57"/>
      <c r="I518" s="57"/>
      <c r="J518" s="57"/>
      <c r="K518" s="57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  <c r="AB518" s="121"/>
      <c r="AC518" s="121"/>
      <c r="AD518" s="121"/>
      <c r="AE518" s="121"/>
      <c r="AF518" s="121"/>
      <c r="AG518" s="121"/>
      <c r="AH518" s="121"/>
      <c r="AI518" s="121"/>
      <c r="AJ518" s="121"/>
      <c r="AK518" s="121"/>
    </row>
    <row r="519" spans="2:37">
      <c r="B519" s="134"/>
      <c r="C519" s="57"/>
      <c r="D519" s="57"/>
      <c r="E519" s="57"/>
      <c r="F519" s="57"/>
      <c r="G519" s="57"/>
      <c r="H519" s="57"/>
      <c r="I519" s="57"/>
      <c r="J519" s="57"/>
      <c r="K519" s="57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  <c r="AB519" s="121"/>
      <c r="AC519" s="121"/>
      <c r="AD519" s="121"/>
      <c r="AE519" s="121"/>
      <c r="AF519" s="121"/>
      <c r="AG519" s="121"/>
      <c r="AH519" s="121"/>
      <c r="AI519" s="121"/>
      <c r="AJ519" s="121"/>
      <c r="AK519" s="121"/>
    </row>
    <row r="520" spans="2:37">
      <c r="B520" s="134"/>
      <c r="C520" s="57"/>
      <c r="D520" s="57"/>
      <c r="E520" s="57"/>
      <c r="F520" s="57"/>
      <c r="G520" s="57"/>
      <c r="H520" s="57"/>
      <c r="I520" s="57"/>
      <c r="J520" s="57"/>
      <c r="K520" s="57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  <c r="AC520" s="121"/>
      <c r="AD520" s="121"/>
      <c r="AE520" s="121"/>
      <c r="AF520" s="121"/>
      <c r="AG520" s="121"/>
      <c r="AH520" s="121"/>
      <c r="AI520" s="121"/>
      <c r="AJ520" s="121"/>
      <c r="AK520" s="121"/>
    </row>
    <row r="521" spans="2:37">
      <c r="B521" s="134"/>
      <c r="C521" s="57"/>
      <c r="D521" s="57"/>
      <c r="E521" s="57"/>
      <c r="F521" s="57"/>
      <c r="G521" s="57"/>
      <c r="H521" s="57"/>
      <c r="I521" s="57"/>
      <c r="J521" s="57"/>
      <c r="K521" s="57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  <c r="AB521" s="121"/>
      <c r="AC521" s="121"/>
      <c r="AD521" s="121"/>
      <c r="AE521" s="121"/>
      <c r="AF521" s="121"/>
      <c r="AG521" s="121"/>
      <c r="AH521" s="121"/>
      <c r="AI521" s="121"/>
      <c r="AJ521" s="121"/>
      <c r="AK521" s="121"/>
    </row>
    <row r="522" spans="2:37">
      <c r="B522" s="134"/>
      <c r="C522" s="57"/>
      <c r="D522" s="57"/>
      <c r="E522" s="57"/>
      <c r="F522" s="57"/>
      <c r="G522" s="57"/>
      <c r="H522" s="57"/>
      <c r="I522" s="57"/>
      <c r="J522" s="57"/>
      <c r="K522" s="57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  <c r="AB522" s="121"/>
      <c r="AC522" s="121"/>
      <c r="AD522" s="121"/>
      <c r="AE522" s="121"/>
      <c r="AF522" s="121"/>
      <c r="AG522" s="121"/>
      <c r="AH522" s="121"/>
      <c r="AI522" s="121"/>
      <c r="AJ522" s="121"/>
      <c r="AK522" s="121"/>
    </row>
    <row r="523" spans="2:37">
      <c r="B523" s="134"/>
      <c r="C523" s="57"/>
      <c r="D523" s="57"/>
      <c r="E523" s="57"/>
      <c r="F523" s="57"/>
      <c r="G523" s="57"/>
      <c r="H523" s="57"/>
      <c r="I523" s="57"/>
      <c r="J523" s="57"/>
      <c r="K523" s="57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  <c r="AB523" s="121"/>
      <c r="AC523" s="121"/>
      <c r="AD523" s="121"/>
      <c r="AE523" s="121"/>
      <c r="AF523" s="121"/>
      <c r="AG523" s="121"/>
      <c r="AH523" s="121"/>
      <c r="AI523" s="121"/>
      <c r="AJ523" s="121"/>
      <c r="AK523" s="121"/>
    </row>
    <row r="524" spans="2:37">
      <c r="B524" s="134"/>
      <c r="C524" s="57"/>
      <c r="D524" s="57"/>
      <c r="E524" s="57"/>
      <c r="F524" s="57"/>
      <c r="G524" s="57"/>
      <c r="H524" s="57"/>
      <c r="I524" s="57"/>
      <c r="J524" s="57"/>
      <c r="K524" s="57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  <c r="AB524" s="121"/>
      <c r="AC524" s="121"/>
      <c r="AD524" s="121"/>
      <c r="AE524" s="121"/>
      <c r="AF524" s="121"/>
      <c r="AG524" s="121"/>
      <c r="AH524" s="121"/>
      <c r="AI524" s="121"/>
      <c r="AJ524" s="121"/>
      <c r="AK524" s="121"/>
    </row>
    <row r="525" spans="2:37">
      <c r="B525" s="134"/>
      <c r="C525" s="57"/>
      <c r="D525" s="57"/>
      <c r="E525" s="57"/>
      <c r="F525" s="57"/>
      <c r="G525" s="57"/>
      <c r="H525" s="57"/>
      <c r="I525" s="57"/>
      <c r="J525" s="57"/>
      <c r="K525" s="57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  <c r="AB525" s="121"/>
      <c r="AC525" s="121"/>
      <c r="AD525" s="121"/>
      <c r="AE525" s="121"/>
      <c r="AF525" s="121"/>
      <c r="AG525" s="121"/>
      <c r="AH525" s="121"/>
      <c r="AI525" s="121"/>
      <c r="AJ525" s="121"/>
      <c r="AK525" s="121"/>
    </row>
    <row r="526" spans="2:37">
      <c r="B526" s="134"/>
      <c r="C526" s="57"/>
      <c r="D526" s="57"/>
      <c r="E526" s="57"/>
      <c r="F526" s="57"/>
      <c r="G526" s="57"/>
      <c r="H526" s="57"/>
      <c r="I526" s="57"/>
      <c r="J526" s="57"/>
      <c r="K526" s="57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  <c r="AB526" s="121"/>
      <c r="AC526" s="121"/>
      <c r="AD526" s="121"/>
      <c r="AE526" s="121"/>
      <c r="AF526" s="121"/>
      <c r="AG526" s="121"/>
      <c r="AH526" s="121"/>
      <c r="AI526" s="121"/>
      <c r="AJ526" s="121"/>
      <c r="AK526" s="121"/>
    </row>
    <row r="527" spans="2:37">
      <c r="B527" s="134"/>
      <c r="C527" s="57"/>
      <c r="D527" s="57"/>
      <c r="E527" s="57"/>
      <c r="F527" s="57"/>
      <c r="G527" s="57"/>
      <c r="H527" s="57"/>
      <c r="I527" s="57"/>
      <c r="J527" s="57"/>
      <c r="K527" s="57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  <c r="AB527" s="121"/>
      <c r="AC527" s="121"/>
      <c r="AD527" s="121"/>
      <c r="AE527" s="121"/>
      <c r="AF527" s="121"/>
      <c r="AG527" s="121"/>
      <c r="AH527" s="121"/>
      <c r="AI527" s="121"/>
      <c r="AJ527" s="121"/>
      <c r="AK527" s="121"/>
    </row>
    <row r="528" spans="2:37">
      <c r="B528" s="134"/>
      <c r="C528" s="57"/>
      <c r="D528" s="57"/>
      <c r="E528" s="57"/>
      <c r="F528" s="57"/>
      <c r="G528" s="57"/>
      <c r="H528" s="57"/>
      <c r="I528" s="57"/>
      <c r="J528" s="57"/>
      <c r="K528" s="57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  <c r="AB528" s="121"/>
      <c r="AC528" s="121"/>
      <c r="AD528" s="121"/>
      <c r="AE528" s="121"/>
      <c r="AF528" s="121"/>
      <c r="AG528" s="121"/>
      <c r="AH528" s="121"/>
      <c r="AI528" s="121"/>
      <c r="AJ528" s="121"/>
      <c r="AK528" s="121"/>
    </row>
    <row r="529" spans="2:37">
      <c r="B529" s="134"/>
      <c r="C529" s="57"/>
      <c r="D529" s="57"/>
      <c r="E529" s="57"/>
      <c r="F529" s="57"/>
      <c r="G529" s="57"/>
      <c r="H529" s="57"/>
      <c r="I529" s="57"/>
      <c r="J529" s="57"/>
      <c r="K529" s="57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  <c r="AB529" s="121"/>
      <c r="AC529" s="121"/>
      <c r="AD529" s="121"/>
      <c r="AE529" s="121"/>
      <c r="AF529" s="121"/>
      <c r="AG529" s="121"/>
      <c r="AH529" s="121"/>
      <c r="AI529" s="121"/>
      <c r="AJ529" s="121"/>
      <c r="AK529" s="121"/>
    </row>
    <row r="530" spans="2:37">
      <c r="B530" s="134"/>
      <c r="C530" s="57"/>
      <c r="D530" s="57"/>
      <c r="E530" s="57"/>
      <c r="F530" s="57"/>
      <c r="G530" s="57"/>
      <c r="H530" s="57"/>
      <c r="I530" s="57"/>
      <c r="J530" s="57"/>
      <c r="K530" s="57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  <c r="AB530" s="121"/>
      <c r="AC530" s="121"/>
      <c r="AD530" s="121"/>
      <c r="AE530" s="121"/>
      <c r="AF530" s="121"/>
      <c r="AG530" s="121"/>
      <c r="AH530" s="121"/>
      <c r="AI530" s="121"/>
      <c r="AJ530" s="121"/>
      <c r="AK530" s="121"/>
    </row>
    <row r="531" spans="2:37">
      <c r="B531" s="134"/>
      <c r="C531" s="57"/>
      <c r="D531" s="57"/>
      <c r="E531" s="57"/>
      <c r="F531" s="57"/>
      <c r="G531" s="57"/>
      <c r="H531" s="57"/>
      <c r="I531" s="57"/>
      <c r="J531" s="57"/>
      <c r="K531" s="57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  <c r="AC531" s="121"/>
      <c r="AD531" s="121"/>
      <c r="AE531" s="121"/>
      <c r="AF531" s="121"/>
      <c r="AG531" s="121"/>
      <c r="AH531" s="121"/>
      <c r="AI531" s="121"/>
      <c r="AJ531" s="121"/>
      <c r="AK531" s="121"/>
    </row>
    <row r="532" spans="2:37">
      <c r="B532" s="134"/>
      <c r="C532" s="57"/>
      <c r="D532" s="57"/>
      <c r="E532" s="57"/>
      <c r="F532" s="57"/>
      <c r="G532" s="57"/>
      <c r="H532" s="57"/>
      <c r="I532" s="57"/>
      <c r="J532" s="57"/>
      <c r="K532" s="57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  <c r="AB532" s="121"/>
      <c r="AC532" s="121"/>
      <c r="AD532" s="121"/>
      <c r="AE532" s="121"/>
      <c r="AF532" s="121"/>
      <c r="AG532" s="121"/>
      <c r="AH532" s="121"/>
      <c r="AI532" s="121"/>
      <c r="AJ532" s="121"/>
      <c r="AK532" s="121"/>
    </row>
    <row r="533" spans="2:37">
      <c r="B533" s="134"/>
      <c r="C533" s="57"/>
      <c r="D533" s="57"/>
      <c r="E533" s="57"/>
      <c r="F533" s="57"/>
      <c r="G533" s="57"/>
      <c r="H533" s="57"/>
      <c r="I533" s="57"/>
      <c r="J533" s="57"/>
      <c r="K533" s="57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  <c r="AB533" s="121"/>
      <c r="AC533" s="121"/>
      <c r="AD533" s="121"/>
      <c r="AE533" s="121"/>
      <c r="AF533" s="121"/>
      <c r="AG533" s="121"/>
      <c r="AH533" s="121"/>
      <c r="AI533" s="121"/>
      <c r="AJ533" s="121"/>
      <c r="AK533" s="121"/>
    </row>
    <row r="534" spans="2:37">
      <c r="B534" s="134"/>
      <c r="C534" s="57"/>
      <c r="D534" s="57"/>
      <c r="E534" s="57"/>
      <c r="F534" s="57"/>
      <c r="G534" s="57"/>
      <c r="H534" s="57"/>
      <c r="I534" s="57"/>
      <c r="J534" s="57"/>
      <c r="K534" s="57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  <c r="AB534" s="121"/>
      <c r="AC534" s="121"/>
      <c r="AD534" s="121"/>
      <c r="AE534" s="121"/>
      <c r="AF534" s="121"/>
      <c r="AG534" s="121"/>
      <c r="AH534" s="121"/>
      <c r="AI534" s="121"/>
      <c r="AJ534" s="121"/>
      <c r="AK534" s="121"/>
    </row>
    <row r="535" spans="2:37">
      <c r="B535" s="134"/>
      <c r="C535" s="57"/>
      <c r="D535" s="57"/>
      <c r="E535" s="57"/>
      <c r="F535" s="57"/>
      <c r="G535" s="57"/>
      <c r="H535" s="57"/>
      <c r="I535" s="57"/>
      <c r="J535" s="57"/>
      <c r="K535" s="57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  <c r="AC535" s="121"/>
      <c r="AD535" s="121"/>
      <c r="AE535" s="121"/>
      <c r="AF535" s="121"/>
      <c r="AG535" s="121"/>
      <c r="AH535" s="121"/>
      <c r="AI535" s="121"/>
      <c r="AJ535" s="121"/>
      <c r="AK535" s="121"/>
    </row>
    <row r="536" spans="2:37">
      <c r="B536" s="134"/>
      <c r="C536" s="57"/>
      <c r="D536" s="57"/>
      <c r="E536" s="57"/>
      <c r="F536" s="57"/>
      <c r="G536" s="57"/>
      <c r="H536" s="57"/>
      <c r="I536" s="57"/>
      <c r="J536" s="57"/>
      <c r="K536" s="57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  <c r="AB536" s="121"/>
      <c r="AC536" s="121"/>
      <c r="AD536" s="121"/>
      <c r="AE536" s="121"/>
      <c r="AF536" s="121"/>
      <c r="AG536" s="121"/>
      <c r="AH536" s="121"/>
      <c r="AI536" s="121"/>
      <c r="AJ536" s="121"/>
      <c r="AK536" s="121"/>
    </row>
    <row r="537" spans="2:37">
      <c r="B537" s="134"/>
      <c r="C537" s="57"/>
      <c r="D537" s="57"/>
      <c r="E537" s="57"/>
      <c r="F537" s="57"/>
      <c r="G537" s="57"/>
      <c r="H537" s="57"/>
      <c r="I537" s="57"/>
      <c r="J537" s="57"/>
      <c r="K537" s="57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  <c r="AB537" s="121"/>
      <c r="AC537" s="121"/>
      <c r="AD537" s="121"/>
      <c r="AE537" s="121"/>
      <c r="AF537" s="121"/>
      <c r="AG537" s="121"/>
      <c r="AH537" s="121"/>
      <c r="AI537" s="121"/>
      <c r="AJ537" s="121"/>
      <c r="AK537" s="121"/>
    </row>
    <row r="538" spans="2:37">
      <c r="B538" s="134"/>
      <c r="C538" s="57"/>
      <c r="D538" s="57"/>
      <c r="E538" s="57"/>
      <c r="F538" s="57"/>
      <c r="G538" s="57"/>
      <c r="H538" s="57"/>
      <c r="I538" s="57"/>
      <c r="J538" s="57"/>
      <c r="K538" s="57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</row>
    <row r="539" spans="2:37">
      <c r="B539" s="134"/>
      <c r="C539" s="57"/>
      <c r="D539" s="57"/>
      <c r="E539" s="57"/>
      <c r="F539" s="57"/>
      <c r="G539" s="57"/>
      <c r="H539" s="57"/>
      <c r="I539" s="57"/>
      <c r="J539" s="57"/>
      <c r="K539" s="57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</row>
    <row r="540" spans="2:37">
      <c r="B540" s="134"/>
      <c r="C540" s="57"/>
      <c r="D540" s="57"/>
      <c r="E540" s="57"/>
      <c r="F540" s="57"/>
      <c r="G540" s="57"/>
      <c r="H540" s="57"/>
      <c r="I540" s="57"/>
      <c r="J540" s="57"/>
      <c r="K540" s="57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  <c r="AB540" s="121"/>
      <c r="AC540" s="121"/>
      <c r="AD540" s="121"/>
      <c r="AE540" s="121"/>
      <c r="AF540" s="121"/>
      <c r="AG540" s="121"/>
      <c r="AH540" s="121"/>
      <c r="AI540" s="121"/>
      <c r="AJ540" s="121"/>
      <c r="AK540" s="121"/>
    </row>
    <row r="541" spans="2:37">
      <c r="B541" s="134"/>
      <c r="C541" s="57"/>
      <c r="D541" s="57"/>
      <c r="E541" s="57"/>
      <c r="F541" s="57"/>
      <c r="G541" s="57"/>
      <c r="H541" s="57"/>
      <c r="I541" s="57"/>
      <c r="J541" s="57"/>
      <c r="K541" s="57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1"/>
    </row>
    <row r="542" spans="2:37">
      <c r="B542" s="134"/>
      <c r="C542" s="57"/>
      <c r="D542" s="57"/>
      <c r="E542" s="57"/>
      <c r="F542" s="57"/>
      <c r="G542" s="57"/>
      <c r="H542" s="57"/>
      <c r="I542" s="57"/>
      <c r="J542" s="57"/>
      <c r="K542" s="57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</row>
    <row r="543" spans="2:37">
      <c r="B543" s="134"/>
      <c r="C543" s="57"/>
      <c r="D543" s="57"/>
      <c r="E543" s="57"/>
      <c r="F543" s="57"/>
      <c r="G543" s="57"/>
      <c r="H543" s="57"/>
      <c r="I543" s="57"/>
      <c r="J543" s="57"/>
      <c r="K543" s="57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</row>
    <row r="544" spans="2:37">
      <c r="B544" s="134"/>
      <c r="C544" s="57"/>
      <c r="D544" s="57"/>
      <c r="E544" s="57"/>
      <c r="F544" s="57"/>
      <c r="G544" s="57"/>
      <c r="H544" s="57"/>
      <c r="I544" s="57"/>
      <c r="J544" s="57"/>
      <c r="K544" s="57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</row>
    <row r="545" spans="2:37">
      <c r="B545" s="134"/>
      <c r="C545" s="57"/>
      <c r="D545" s="57"/>
      <c r="E545" s="57"/>
      <c r="F545" s="57"/>
      <c r="G545" s="57"/>
      <c r="H545" s="57"/>
      <c r="I545" s="57"/>
      <c r="J545" s="57"/>
      <c r="K545" s="57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</row>
    <row r="546" spans="2:37">
      <c r="B546" s="134"/>
      <c r="C546" s="57"/>
      <c r="D546" s="57"/>
      <c r="E546" s="57"/>
      <c r="F546" s="57"/>
      <c r="G546" s="57"/>
      <c r="H546" s="57"/>
      <c r="I546" s="57"/>
      <c r="J546" s="57"/>
      <c r="K546" s="57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</row>
    <row r="547" spans="2:37">
      <c r="B547" s="134"/>
      <c r="C547" s="57"/>
      <c r="D547" s="57"/>
      <c r="E547" s="57"/>
      <c r="F547" s="57"/>
      <c r="G547" s="57"/>
      <c r="H547" s="57"/>
      <c r="I547" s="57"/>
      <c r="J547" s="57"/>
      <c r="K547" s="57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</row>
    <row r="548" spans="2:37">
      <c r="B548" s="134"/>
      <c r="C548" s="57"/>
      <c r="D548" s="57"/>
      <c r="E548" s="57"/>
      <c r="F548" s="57"/>
      <c r="G548" s="57"/>
      <c r="H548" s="57"/>
      <c r="I548" s="57"/>
      <c r="J548" s="57"/>
      <c r="K548" s="57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</row>
    <row r="549" spans="2:37">
      <c r="B549" s="134"/>
      <c r="C549" s="57"/>
      <c r="D549" s="57"/>
      <c r="E549" s="57"/>
      <c r="F549" s="57"/>
      <c r="G549" s="57"/>
      <c r="H549" s="57"/>
      <c r="I549" s="57"/>
      <c r="J549" s="57"/>
      <c r="K549" s="57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</row>
    <row r="550" spans="2:37">
      <c r="B550" s="134"/>
      <c r="C550" s="57"/>
      <c r="D550" s="57"/>
      <c r="E550" s="57"/>
      <c r="F550" s="57"/>
      <c r="G550" s="57"/>
      <c r="H550" s="57"/>
      <c r="I550" s="57"/>
      <c r="J550" s="57"/>
      <c r="K550" s="57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</row>
    <row r="551" spans="2:37">
      <c r="B551" s="134"/>
      <c r="C551" s="57"/>
      <c r="D551" s="57"/>
      <c r="E551" s="57"/>
      <c r="F551" s="57"/>
      <c r="G551" s="57"/>
      <c r="H551" s="57"/>
      <c r="I551" s="57"/>
      <c r="J551" s="57"/>
      <c r="K551" s="57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</row>
    <row r="552" spans="2:37">
      <c r="B552" s="134"/>
      <c r="C552" s="57"/>
      <c r="D552" s="57"/>
      <c r="E552" s="57"/>
      <c r="F552" s="57"/>
      <c r="G552" s="57"/>
      <c r="H552" s="57"/>
      <c r="I552" s="57"/>
      <c r="J552" s="57"/>
      <c r="K552" s="57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  <c r="AB552" s="121"/>
      <c r="AC552" s="121"/>
      <c r="AD552" s="121"/>
      <c r="AE552" s="121"/>
      <c r="AF552" s="121"/>
      <c r="AG552" s="121"/>
      <c r="AH552" s="121"/>
      <c r="AI552" s="121"/>
      <c r="AJ552" s="121"/>
      <c r="AK552" s="121"/>
    </row>
    <row r="553" spans="2:37">
      <c r="B553" s="134"/>
      <c r="C553" s="57"/>
      <c r="D553" s="57"/>
      <c r="E553" s="57"/>
      <c r="F553" s="57"/>
      <c r="G553" s="57"/>
      <c r="H553" s="57"/>
      <c r="I553" s="57"/>
      <c r="J553" s="57"/>
      <c r="K553" s="57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  <c r="AB553" s="121"/>
      <c r="AC553" s="121"/>
      <c r="AD553" s="121"/>
      <c r="AE553" s="121"/>
      <c r="AF553" s="121"/>
      <c r="AG553" s="121"/>
      <c r="AH553" s="121"/>
      <c r="AI553" s="121"/>
      <c r="AJ553" s="121"/>
      <c r="AK553" s="121"/>
    </row>
    <row r="554" spans="2:37">
      <c r="B554" s="134"/>
      <c r="C554" s="57"/>
      <c r="D554" s="57"/>
      <c r="E554" s="57"/>
      <c r="F554" s="57"/>
      <c r="G554" s="57"/>
      <c r="H554" s="57"/>
      <c r="I554" s="57"/>
      <c r="J554" s="57"/>
      <c r="K554" s="57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  <c r="AB554" s="121"/>
      <c r="AC554" s="121"/>
      <c r="AD554" s="121"/>
      <c r="AE554" s="121"/>
      <c r="AF554" s="121"/>
      <c r="AG554" s="121"/>
      <c r="AH554" s="121"/>
      <c r="AI554" s="121"/>
      <c r="AJ554" s="121"/>
      <c r="AK554" s="121"/>
    </row>
    <row r="555" spans="2:37">
      <c r="B555" s="134"/>
      <c r="C555" s="57"/>
      <c r="D555" s="57"/>
      <c r="E555" s="57"/>
      <c r="F555" s="57"/>
      <c r="G555" s="57"/>
      <c r="H555" s="57"/>
      <c r="I555" s="57"/>
      <c r="J555" s="57"/>
      <c r="K555" s="57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  <c r="AB555" s="121"/>
      <c r="AC555" s="121"/>
      <c r="AD555" s="121"/>
      <c r="AE555" s="121"/>
      <c r="AF555" s="121"/>
      <c r="AG555" s="121"/>
      <c r="AH555" s="121"/>
      <c r="AI555" s="121"/>
      <c r="AJ555" s="121"/>
      <c r="AK555" s="121"/>
    </row>
    <row r="556" spans="2:37">
      <c r="B556" s="134"/>
      <c r="C556" s="57"/>
      <c r="D556" s="57"/>
      <c r="E556" s="57"/>
      <c r="F556" s="57"/>
      <c r="G556" s="57"/>
      <c r="H556" s="57"/>
      <c r="I556" s="57"/>
      <c r="J556" s="57"/>
      <c r="K556" s="57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  <c r="AB556" s="121"/>
      <c r="AC556" s="121"/>
      <c r="AD556" s="121"/>
      <c r="AE556" s="121"/>
      <c r="AF556" s="121"/>
      <c r="AG556" s="121"/>
      <c r="AH556" s="121"/>
      <c r="AI556" s="121"/>
      <c r="AJ556" s="121"/>
      <c r="AK556" s="121"/>
    </row>
    <row r="557" spans="2:37">
      <c r="B557" s="134"/>
      <c r="C557" s="57"/>
      <c r="D557" s="57"/>
      <c r="E557" s="57"/>
      <c r="F557" s="57"/>
      <c r="G557" s="57"/>
      <c r="H557" s="57"/>
      <c r="I557" s="57"/>
      <c r="J557" s="57"/>
      <c r="K557" s="57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  <c r="AB557" s="121"/>
      <c r="AC557" s="121"/>
      <c r="AD557" s="121"/>
      <c r="AE557" s="121"/>
      <c r="AF557" s="121"/>
      <c r="AG557" s="121"/>
      <c r="AH557" s="121"/>
      <c r="AI557" s="121"/>
      <c r="AJ557" s="121"/>
      <c r="AK557" s="121"/>
    </row>
    <row r="558" spans="2:37">
      <c r="B558" s="134"/>
      <c r="C558" s="57"/>
      <c r="D558" s="57"/>
      <c r="E558" s="57"/>
      <c r="F558" s="57"/>
      <c r="G558" s="57"/>
      <c r="H558" s="57"/>
      <c r="I558" s="57"/>
      <c r="J558" s="57"/>
      <c r="K558" s="57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  <c r="AB558" s="121"/>
      <c r="AC558" s="121"/>
      <c r="AD558" s="121"/>
      <c r="AE558" s="121"/>
      <c r="AF558" s="121"/>
      <c r="AG558" s="121"/>
      <c r="AH558" s="121"/>
      <c r="AI558" s="121"/>
      <c r="AJ558" s="121"/>
      <c r="AK558" s="121"/>
    </row>
    <row r="559" spans="2:37">
      <c r="B559" s="134"/>
      <c r="C559" s="57"/>
      <c r="D559" s="57"/>
      <c r="E559" s="57"/>
      <c r="F559" s="57"/>
      <c r="G559" s="57"/>
      <c r="H559" s="57"/>
      <c r="I559" s="57"/>
      <c r="J559" s="57"/>
      <c r="K559" s="57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  <c r="AB559" s="121"/>
      <c r="AC559" s="121"/>
      <c r="AD559" s="121"/>
      <c r="AE559" s="121"/>
      <c r="AF559" s="121"/>
      <c r="AG559" s="121"/>
      <c r="AH559" s="121"/>
      <c r="AI559" s="121"/>
      <c r="AJ559" s="121"/>
      <c r="AK559" s="121"/>
    </row>
    <row r="560" spans="2:37">
      <c r="B560" s="134"/>
      <c r="C560" s="57"/>
      <c r="D560" s="57"/>
      <c r="E560" s="57"/>
      <c r="F560" s="57"/>
      <c r="G560" s="57"/>
      <c r="H560" s="57"/>
      <c r="I560" s="57"/>
      <c r="J560" s="57"/>
      <c r="K560" s="57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  <c r="AB560" s="121"/>
      <c r="AC560" s="121"/>
      <c r="AD560" s="121"/>
      <c r="AE560" s="121"/>
      <c r="AF560" s="121"/>
      <c r="AG560" s="121"/>
      <c r="AH560" s="121"/>
      <c r="AI560" s="121"/>
      <c r="AJ560" s="121"/>
      <c r="AK560" s="121"/>
    </row>
    <row r="561" spans="2:37">
      <c r="B561" s="134"/>
      <c r="C561" s="57"/>
      <c r="D561" s="57"/>
      <c r="E561" s="57"/>
      <c r="F561" s="57"/>
      <c r="G561" s="57"/>
      <c r="H561" s="57"/>
      <c r="I561" s="57"/>
      <c r="J561" s="57"/>
      <c r="K561" s="57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  <c r="AB561" s="121"/>
      <c r="AC561" s="121"/>
      <c r="AD561" s="121"/>
      <c r="AE561" s="121"/>
      <c r="AF561" s="121"/>
      <c r="AG561" s="121"/>
      <c r="AH561" s="121"/>
      <c r="AI561" s="121"/>
      <c r="AJ561" s="121"/>
      <c r="AK561" s="121"/>
    </row>
    <row r="562" spans="2:37">
      <c r="B562" s="134"/>
      <c r="C562" s="57"/>
      <c r="D562" s="57"/>
      <c r="E562" s="57"/>
      <c r="F562" s="57"/>
      <c r="G562" s="57"/>
      <c r="H562" s="57"/>
      <c r="I562" s="57"/>
      <c r="J562" s="57"/>
      <c r="K562" s="57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  <c r="AC562" s="121"/>
      <c r="AD562" s="121"/>
      <c r="AE562" s="121"/>
      <c r="AF562" s="121"/>
      <c r="AG562" s="121"/>
      <c r="AH562" s="121"/>
      <c r="AI562" s="121"/>
      <c r="AJ562" s="121"/>
      <c r="AK562" s="121"/>
    </row>
    <row r="563" spans="2:37">
      <c r="B563" s="134"/>
      <c r="C563" s="57"/>
      <c r="D563" s="57"/>
      <c r="E563" s="57"/>
      <c r="F563" s="57"/>
      <c r="G563" s="57"/>
      <c r="H563" s="57"/>
      <c r="I563" s="57"/>
      <c r="J563" s="57"/>
      <c r="K563" s="57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  <c r="AB563" s="121"/>
      <c r="AC563" s="121"/>
      <c r="AD563" s="121"/>
      <c r="AE563" s="121"/>
      <c r="AF563" s="121"/>
      <c r="AG563" s="121"/>
      <c r="AH563" s="121"/>
      <c r="AI563" s="121"/>
      <c r="AJ563" s="121"/>
      <c r="AK563" s="121"/>
    </row>
    <row r="564" spans="2:37">
      <c r="B564" s="134"/>
      <c r="C564" s="57"/>
      <c r="D564" s="57"/>
      <c r="E564" s="57"/>
      <c r="F564" s="57"/>
      <c r="G564" s="57"/>
      <c r="H564" s="57"/>
      <c r="I564" s="57"/>
      <c r="J564" s="57"/>
      <c r="K564" s="57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  <c r="AC564" s="121"/>
      <c r="AD564" s="121"/>
      <c r="AE564" s="121"/>
      <c r="AF564" s="121"/>
      <c r="AG564" s="121"/>
      <c r="AH564" s="121"/>
      <c r="AI564" s="121"/>
      <c r="AJ564" s="121"/>
      <c r="AK564" s="121"/>
    </row>
    <row r="565" spans="2:37">
      <c r="B565" s="134"/>
      <c r="C565" s="57"/>
      <c r="D565" s="57"/>
      <c r="E565" s="57"/>
      <c r="F565" s="57"/>
      <c r="G565" s="57"/>
      <c r="H565" s="57"/>
      <c r="I565" s="57"/>
      <c r="J565" s="57"/>
      <c r="K565" s="57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  <c r="AB565" s="121"/>
      <c r="AC565" s="121"/>
      <c r="AD565" s="121"/>
      <c r="AE565" s="121"/>
      <c r="AF565" s="121"/>
      <c r="AG565" s="121"/>
      <c r="AH565" s="121"/>
      <c r="AI565" s="121"/>
      <c r="AJ565" s="121"/>
      <c r="AK565" s="121"/>
    </row>
    <row r="566" spans="2:37">
      <c r="B566" s="134"/>
      <c r="C566" s="57"/>
      <c r="D566" s="57"/>
      <c r="E566" s="57"/>
      <c r="F566" s="57"/>
      <c r="G566" s="57"/>
      <c r="H566" s="57"/>
      <c r="I566" s="57"/>
      <c r="J566" s="57"/>
      <c r="K566" s="57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  <c r="AB566" s="121"/>
      <c r="AC566" s="121"/>
      <c r="AD566" s="121"/>
      <c r="AE566" s="121"/>
      <c r="AF566" s="121"/>
      <c r="AG566" s="121"/>
      <c r="AH566" s="121"/>
      <c r="AI566" s="121"/>
      <c r="AJ566" s="121"/>
      <c r="AK566" s="121"/>
    </row>
    <row r="567" spans="2:37">
      <c r="B567" s="134"/>
      <c r="C567" s="57"/>
      <c r="D567" s="57"/>
      <c r="E567" s="57"/>
      <c r="F567" s="57"/>
      <c r="G567" s="57"/>
      <c r="H567" s="57"/>
      <c r="I567" s="57"/>
      <c r="J567" s="57"/>
      <c r="K567" s="57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  <c r="AB567" s="121"/>
      <c r="AC567" s="121"/>
      <c r="AD567" s="121"/>
      <c r="AE567" s="121"/>
      <c r="AF567" s="121"/>
      <c r="AG567" s="121"/>
      <c r="AH567" s="121"/>
      <c r="AI567" s="121"/>
      <c r="AJ567" s="121"/>
      <c r="AK567" s="121"/>
    </row>
    <row r="568" spans="2:37">
      <c r="B568" s="134"/>
      <c r="C568" s="57"/>
      <c r="D568" s="57"/>
      <c r="E568" s="57"/>
      <c r="F568" s="57"/>
      <c r="G568" s="57"/>
      <c r="H568" s="57"/>
      <c r="I568" s="57"/>
      <c r="J568" s="57"/>
      <c r="K568" s="57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  <c r="AB568" s="121"/>
      <c r="AC568" s="121"/>
      <c r="AD568" s="121"/>
      <c r="AE568" s="121"/>
      <c r="AF568" s="121"/>
      <c r="AG568" s="121"/>
      <c r="AH568" s="121"/>
      <c r="AI568" s="121"/>
      <c r="AJ568" s="121"/>
      <c r="AK568" s="121"/>
    </row>
    <row r="569" spans="2:37">
      <c r="B569" s="134"/>
      <c r="C569" s="57"/>
      <c r="D569" s="57"/>
      <c r="E569" s="57"/>
      <c r="F569" s="57"/>
      <c r="G569" s="57"/>
      <c r="H569" s="57"/>
      <c r="I569" s="57"/>
      <c r="J569" s="57"/>
      <c r="K569" s="57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  <c r="AC569" s="121"/>
      <c r="AD569" s="121"/>
      <c r="AE569" s="121"/>
      <c r="AF569" s="121"/>
      <c r="AG569" s="121"/>
      <c r="AH569" s="121"/>
      <c r="AI569" s="121"/>
      <c r="AJ569" s="121"/>
      <c r="AK569" s="121"/>
    </row>
    <row r="570" spans="2:37">
      <c r="B570" s="134"/>
      <c r="C570" s="57"/>
      <c r="D570" s="57"/>
      <c r="E570" s="57"/>
      <c r="F570" s="57"/>
      <c r="G570" s="57"/>
      <c r="H570" s="57"/>
      <c r="I570" s="57"/>
      <c r="J570" s="57"/>
      <c r="K570" s="57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  <c r="AB570" s="121"/>
      <c r="AC570" s="121"/>
      <c r="AD570" s="121"/>
      <c r="AE570" s="121"/>
      <c r="AF570" s="121"/>
      <c r="AG570" s="121"/>
      <c r="AH570" s="121"/>
      <c r="AI570" s="121"/>
      <c r="AJ570" s="121"/>
      <c r="AK570" s="121"/>
    </row>
    <row r="571" spans="2:37">
      <c r="B571" s="134"/>
      <c r="C571" s="57"/>
      <c r="D571" s="57"/>
      <c r="E571" s="57"/>
      <c r="F571" s="57"/>
      <c r="G571" s="57"/>
      <c r="H571" s="57"/>
      <c r="I571" s="57"/>
      <c r="J571" s="57"/>
      <c r="K571" s="57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  <c r="AB571" s="121"/>
      <c r="AC571" s="121"/>
      <c r="AD571" s="121"/>
      <c r="AE571" s="121"/>
      <c r="AF571" s="121"/>
      <c r="AG571" s="121"/>
      <c r="AH571" s="121"/>
      <c r="AI571" s="121"/>
      <c r="AJ571" s="121"/>
      <c r="AK571" s="121"/>
    </row>
    <row r="572" spans="2:37">
      <c r="B572" s="134"/>
      <c r="C572" s="57"/>
      <c r="D572" s="57"/>
      <c r="E572" s="57"/>
      <c r="F572" s="57"/>
      <c r="G572" s="57"/>
      <c r="H572" s="57"/>
      <c r="I572" s="57"/>
      <c r="J572" s="57"/>
      <c r="K572" s="57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  <c r="AB572" s="121"/>
      <c r="AC572" s="121"/>
      <c r="AD572" s="121"/>
      <c r="AE572" s="121"/>
      <c r="AF572" s="121"/>
      <c r="AG572" s="121"/>
      <c r="AH572" s="121"/>
      <c r="AI572" s="121"/>
      <c r="AJ572" s="121"/>
      <c r="AK572" s="121"/>
    </row>
    <row r="573" spans="2:37">
      <c r="B573" s="134"/>
      <c r="C573" s="57"/>
      <c r="D573" s="57"/>
      <c r="E573" s="57"/>
      <c r="F573" s="57"/>
      <c r="G573" s="57"/>
      <c r="H573" s="57"/>
      <c r="I573" s="57"/>
      <c r="J573" s="57"/>
      <c r="K573" s="57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  <c r="AC573" s="121"/>
      <c r="AD573" s="121"/>
      <c r="AE573" s="121"/>
      <c r="AF573" s="121"/>
      <c r="AG573" s="121"/>
      <c r="AH573" s="121"/>
      <c r="AI573" s="121"/>
      <c r="AJ573" s="121"/>
      <c r="AK573" s="121"/>
    </row>
    <row r="574" spans="2:37">
      <c r="B574" s="134"/>
      <c r="C574" s="57"/>
      <c r="D574" s="57"/>
      <c r="E574" s="57"/>
      <c r="F574" s="57"/>
      <c r="G574" s="57"/>
      <c r="H574" s="57"/>
      <c r="I574" s="57"/>
      <c r="J574" s="57"/>
      <c r="K574" s="57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  <c r="AC574" s="121"/>
      <c r="AD574" s="121"/>
      <c r="AE574" s="121"/>
      <c r="AF574" s="121"/>
      <c r="AG574" s="121"/>
      <c r="AH574" s="121"/>
      <c r="AI574" s="121"/>
      <c r="AJ574" s="121"/>
      <c r="AK574" s="121"/>
    </row>
    <row r="575" spans="2:37">
      <c r="B575" s="134"/>
      <c r="C575" s="57"/>
      <c r="D575" s="57"/>
      <c r="E575" s="57"/>
      <c r="F575" s="57"/>
      <c r="G575" s="57"/>
      <c r="H575" s="57"/>
      <c r="I575" s="57"/>
      <c r="J575" s="57"/>
      <c r="K575" s="57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  <c r="AB575" s="121"/>
      <c r="AC575" s="121"/>
      <c r="AD575" s="121"/>
      <c r="AE575" s="121"/>
      <c r="AF575" s="121"/>
      <c r="AG575" s="121"/>
      <c r="AH575" s="121"/>
      <c r="AI575" s="121"/>
      <c r="AJ575" s="121"/>
      <c r="AK575" s="121"/>
    </row>
    <row r="576" spans="2:37">
      <c r="B576" s="134"/>
      <c r="C576" s="57"/>
      <c r="D576" s="57"/>
      <c r="E576" s="57"/>
      <c r="F576" s="57"/>
      <c r="G576" s="57"/>
      <c r="H576" s="57"/>
      <c r="I576" s="57"/>
      <c r="J576" s="57"/>
      <c r="K576" s="57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</row>
    <row r="577" spans="2:37">
      <c r="B577" s="134"/>
      <c r="C577" s="57"/>
      <c r="D577" s="57"/>
      <c r="E577" s="57"/>
      <c r="F577" s="57"/>
      <c r="G577" s="57"/>
      <c r="H577" s="57"/>
      <c r="I577" s="57"/>
      <c r="J577" s="57"/>
      <c r="K577" s="57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</row>
    <row r="578" spans="2:37">
      <c r="B578" s="134"/>
      <c r="C578" s="57"/>
      <c r="D578" s="57"/>
      <c r="E578" s="57"/>
      <c r="F578" s="57"/>
      <c r="G578" s="57"/>
      <c r="H578" s="57"/>
      <c r="I578" s="57"/>
      <c r="J578" s="57"/>
      <c r="K578" s="57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  <c r="AB578" s="121"/>
      <c r="AC578" s="121"/>
      <c r="AD578" s="121"/>
      <c r="AE578" s="121"/>
      <c r="AF578" s="121"/>
      <c r="AG578" s="121"/>
      <c r="AH578" s="121"/>
      <c r="AI578" s="121"/>
      <c r="AJ578" s="121"/>
      <c r="AK578" s="121"/>
    </row>
    <row r="579" spans="2:37">
      <c r="B579" s="134"/>
      <c r="C579" s="57"/>
      <c r="D579" s="57"/>
      <c r="E579" s="57"/>
      <c r="F579" s="57"/>
      <c r="G579" s="57"/>
      <c r="H579" s="57"/>
      <c r="I579" s="57"/>
      <c r="J579" s="57"/>
      <c r="K579" s="57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1"/>
    </row>
    <row r="580" spans="2:37">
      <c r="B580" s="134"/>
      <c r="C580" s="57"/>
      <c r="D580" s="57"/>
      <c r="E580" s="57"/>
      <c r="F580" s="57"/>
      <c r="G580" s="57"/>
      <c r="H580" s="57"/>
      <c r="I580" s="57"/>
      <c r="J580" s="57"/>
      <c r="K580" s="57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</row>
    <row r="581" spans="2:37">
      <c r="B581" s="134"/>
      <c r="C581" s="57"/>
      <c r="D581" s="57"/>
      <c r="E581" s="57"/>
      <c r="F581" s="57"/>
      <c r="G581" s="57"/>
      <c r="H581" s="57"/>
      <c r="I581" s="57"/>
      <c r="J581" s="57"/>
      <c r="K581" s="57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</row>
    <row r="582" spans="2:37">
      <c r="B582" s="134"/>
      <c r="C582" s="57"/>
      <c r="D582" s="57"/>
      <c r="E582" s="57"/>
      <c r="F582" s="57"/>
      <c r="G582" s="57"/>
      <c r="H582" s="57"/>
      <c r="I582" s="57"/>
      <c r="J582" s="57"/>
      <c r="K582" s="57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</row>
    <row r="583" spans="2:37">
      <c r="B583" s="134"/>
      <c r="C583" s="57"/>
      <c r="D583" s="57"/>
      <c r="E583" s="57"/>
      <c r="F583" s="57"/>
      <c r="G583" s="57"/>
      <c r="H583" s="57"/>
      <c r="I583" s="57"/>
      <c r="J583" s="57"/>
      <c r="K583" s="57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</row>
    <row r="584" spans="2:37">
      <c r="B584" s="134"/>
      <c r="C584" s="57"/>
      <c r="D584" s="57"/>
      <c r="E584" s="57"/>
      <c r="F584" s="57"/>
      <c r="G584" s="57"/>
      <c r="H584" s="57"/>
      <c r="I584" s="57"/>
      <c r="J584" s="57"/>
      <c r="K584" s="57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</row>
    <row r="585" spans="2:37">
      <c r="B585" s="134"/>
      <c r="C585" s="57"/>
      <c r="D585" s="57"/>
      <c r="E585" s="57"/>
      <c r="F585" s="57"/>
      <c r="G585" s="57"/>
      <c r="H585" s="57"/>
      <c r="I585" s="57"/>
      <c r="J585" s="57"/>
      <c r="K585" s="57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</row>
    <row r="586" spans="2:37">
      <c r="B586" s="134"/>
      <c r="C586" s="57"/>
      <c r="D586" s="57"/>
      <c r="E586" s="57"/>
      <c r="F586" s="57"/>
      <c r="G586" s="57"/>
      <c r="H586" s="57"/>
      <c r="I586" s="57"/>
      <c r="J586" s="57"/>
      <c r="K586" s="57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</row>
    <row r="587" spans="2:37">
      <c r="B587" s="134"/>
      <c r="C587" s="57"/>
      <c r="D587" s="57"/>
      <c r="E587" s="57"/>
      <c r="F587" s="57"/>
      <c r="G587" s="57"/>
      <c r="H587" s="57"/>
      <c r="I587" s="57"/>
      <c r="J587" s="57"/>
      <c r="K587" s="57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</row>
    <row r="588" spans="2:37">
      <c r="B588" s="134"/>
      <c r="C588" s="57"/>
      <c r="D588" s="57"/>
      <c r="E588" s="57"/>
      <c r="F588" s="57"/>
      <c r="G588" s="57"/>
      <c r="H588" s="57"/>
      <c r="I588" s="57"/>
      <c r="J588" s="57"/>
      <c r="K588" s="57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</row>
    <row r="589" spans="2:37">
      <c r="B589" s="134"/>
      <c r="C589" s="57"/>
      <c r="D589" s="57"/>
      <c r="E589" s="57"/>
      <c r="F589" s="57"/>
      <c r="G589" s="57"/>
      <c r="H589" s="57"/>
      <c r="I589" s="57"/>
      <c r="J589" s="57"/>
      <c r="K589" s="57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</row>
    <row r="590" spans="2:37">
      <c r="B590" s="134"/>
      <c r="C590" s="57"/>
      <c r="D590" s="57"/>
      <c r="E590" s="57"/>
      <c r="F590" s="57"/>
      <c r="G590" s="57"/>
      <c r="H590" s="57"/>
      <c r="I590" s="57"/>
      <c r="J590" s="57"/>
      <c r="K590" s="57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  <c r="AB590" s="121"/>
      <c r="AC590" s="121"/>
      <c r="AD590" s="121"/>
      <c r="AE590" s="121"/>
      <c r="AF590" s="121"/>
      <c r="AG590" s="121"/>
      <c r="AH590" s="121"/>
      <c r="AI590" s="121"/>
      <c r="AJ590" s="121"/>
      <c r="AK590" s="121"/>
    </row>
    <row r="591" spans="2:37">
      <c r="B591" s="134"/>
      <c r="C591" s="57"/>
      <c r="D591" s="57"/>
      <c r="E591" s="57"/>
      <c r="F591" s="57"/>
      <c r="G591" s="57"/>
      <c r="H591" s="57"/>
      <c r="I591" s="57"/>
      <c r="J591" s="57"/>
      <c r="K591" s="57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  <c r="AB591" s="121"/>
      <c r="AC591" s="121"/>
      <c r="AD591" s="121"/>
      <c r="AE591" s="121"/>
      <c r="AF591" s="121"/>
      <c r="AG591" s="121"/>
      <c r="AH591" s="121"/>
      <c r="AI591" s="121"/>
      <c r="AJ591" s="121"/>
      <c r="AK591" s="121"/>
    </row>
    <row r="592" spans="2:37">
      <c r="B592" s="134"/>
      <c r="C592" s="57"/>
      <c r="D592" s="57"/>
      <c r="E592" s="57"/>
      <c r="F592" s="57"/>
      <c r="G592" s="57"/>
      <c r="H592" s="57"/>
      <c r="I592" s="57"/>
      <c r="J592" s="57"/>
      <c r="K592" s="57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  <c r="AB592" s="121"/>
      <c r="AC592" s="121"/>
      <c r="AD592" s="121"/>
      <c r="AE592" s="121"/>
      <c r="AF592" s="121"/>
      <c r="AG592" s="121"/>
      <c r="AH592" s="121"/>
      <c r="AI592" s="121"/>
      <c r="AJ592" s="121"/>
      <c r="AK592" s="121"/>
    </row>
    <row r="593" spans="2:37">
      <c r="B593" s="134"/>
      <c r="C593" s="57"/>
      <c r="D593" s="57"/>
      <c r="E593" s="57"/>
      <c r="F593" s="57"/>
      <c r="G593" s="57"/>
      <c r="H593" s="57"/>
      <c r="I593" s="57"/>
      <c r="J593" s="57"/>
      <c r="K593" s="57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  <c r="AB593" s="121"/>
      <c r="AC593" s="121"/>
      <c r="AD593" s="121"/>
      <c r="AE593" s="121"/>
      <c r="AF593" s="121"/>
      <c r="AG593" s="121"/>
      <c r="AH593" s="121"/>
      <c r="AI593" s="121"/>
      <c r="AJ593" s="121"/>
      <c r="AK593" s="121"/>
    </row>
    <row r="594" spans="2:37">
      <c r="B594" s="134"/>
      <c r="C594" s="57"/>
      <c r="D594" s="57"/>
      <c r="E594" s="57"/>
      <c r="F594" s="57"/>
      <c r="G594" s="57"/>
      <c r="H594" s="57"/>
      <c r="I594" s="57"/>
      <c r="J594" s="57"/>
      <c r="K594" s="57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  <c r="AB594" s="121"/>
      <c r="AC594" s="121"/>
      <c r="AD594" s="121"/>
      <c r="AE594" s="121"/>
      <c r="AF594" s="121"/>
      <c r="AG594" s="121"/>
      <c r="AH594" s="121"/>
      <c r="AI594" s="121"/>
      <c r="AJ594" s="121"/>
      <c r="AK594" s="121"/>
    </row>
    <row r="595" spans="2:37">
      <c r="B595" s="134"/>
      <c r="C595" s="57"/>
      <c r="D595" s="57"/>
      <c r="E595" s="57"/>
      <c r="F595" s="57"/>
      <c r="G595" s="57"/>
      <c r="H595" s="57"/>
      <c r="I595" s="57"/>
      <c r="J595" s="57"/>
      <c r="K595" s="57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  <c r="AC595" s="121"/>
      <c r="AD595" s="121"/>
      <c r="AE595" s="121"/>
      <c r="AF595" s="121"/>
      <c r="AG595" s="121"/>
      <c r="AH595" s="121"/>
      <c r="AI595" s="121"/>
      <c r="AJ595" s="121"/>
      <c r="AK595" s="121"/>
    </row>
    <row r="596" spans="2:37">
      <c r="B596" s="134"/>
      <c r="C596" s="57"/>
      <c r="D596" s="57"/>
      <c r="E596" s="57"/>
      <c r="F596" s="57"/>
      <c r="G596" s="57"/>
      <c r="H596" s="57"/>
      <c r="I596" s="57"/>
      <c r="J596" s="57"/>
      <c r="K596" s="57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  <c r="AB596" s="121"/>
      <c r="AC596" s="121"/>
      <c r="AD596" s="121"/>
      <c r="AE596" s="121"/>
      <c r="AF596" s="121"/>
      <c r="AG596" s="121"/>
      <c r="AH596" s="121"/>
      <c r="AI596" s="121"/>
      <c r="AJ596" s="121"/>
      <c r="AK596" s="121"/>
    </row>
    <row r="597" spans="2:37">
      <c r="B597" s="134"/>
      <c r="C597" s="57"/>
      <c r="D597" s="57"/>
      <c r="E597" s="57"/>
      <c r="F597" s="57"/>
      <c r="G597" s="57"/>
      <c r="H597" s="57"/>
      <c r="I597" s="57"/>
      <c r="J597" s="57"/>
      <c r="K597" s="57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  <c r="AB597" s="121"/>
      <c r="AC597" s="121"/>
      <c r="AD597" s="121"/>
      <c r="AE597" s="121"/>
      <c r="AF597" s="121"/>
      <c r="AG597" s="121"/>
      <c r="AH597" s="121"/>
      <c r="AI597" s="121"/>
      <c r="AJ597" s="121"/>
      <c r="AK597" s="121"/>
    </row>
    <row r="598" spans="2:37">
      <c r="B598" s="134"/>
      <c r="C598" s="57"/>
      <c r="D598" s="57"/>
      <c r="E598" s="57"/>
      <c r="F598" s="57"/>
      <c r="G598" s="57"/>
      <c r="H598" s="57"/>
      <c r="I598" s="57"/>
      <c r="J598" s="57"/>
      <c r="K598" s="57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  <c r="AB598" s="121"/>
      <c r="AC598" s="121"/>
      <c r="AD598" s="121"/>
      <c r="AE598" s="121"/>
      <c r="AF598" s="121"/>
      <c r="AG598" s="121"/>
      <c r="AH598" s="121"/>
      <c r="AI598" s="121"/>
      <c r="AJ598" s="121"/>
      <c r="AK598" s="121"/>
    </row>
    <row r="599" spans="2:37">
      <c r="B599" s="134"/>
      <c r="C599" s="57"/>
      <c r="D599" s="57"/>
      <c r="E599" s="57"/>
      <c r="F599" s="57"/>
      <c r="G599" s="57"/>
      <c r="H599" s="57"/>
      <c r="I599" s="57"/>
      <c r="J599" s="57"/>
      <c r="K599" s="57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  <c r="AC599" s="121"/>
      <c r="AD599" s="121"/>
      <c r="AE599" s="121"/>
      <c r="AF599" s="121"/>
      <c r="AG599" s="121"/>
      <c r="AH599" s="121"/>
      <c r="AI599" s="121"/>
      <c r="AJ599" s="121"/>
      <c r="AK599" s="121"/>
    </row>
    <row r="600" spans="2:37">
      <c r="B600" s="134"/>
      <c r="C600" s="57"/>
      <c r="D600" s="57"/>
      <c r="E600" s="57"/>
      <c r="F600" s="57"/>
      <c r="G600" s="57"/>
      <c r="H600" s="57"/>
      <c r="I600" s="57"/>
      <c r="J600" s="57"/>
      <c r="K600" s="57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  <c r="AB600" s="121"/>
      <c r="AC600" s="121"/>
      <c r="AD600" s="121"/>
      <c r="AE600" s="121"/>
      <c r="AF600" s="121"/>
      <c r="AG600" s="121"/>
      <c r="AH600" s="121"/>
      <c r="AI600" s="121"/>
      <c r="AJ600" s="121"/>
      <c r="AK600" s="121"/>
    </row>
    <row r="601" spans="2:37">
      <c r="B601" s="134"/>
      <c r="C601" s="57"/>
      <c r="D601" s="57"/>
      <c r="E601" s="57"/>
      <c r="F601" s="57"/>
      <c r="G601" s="57"/>
      <c r="H601" s="57"/>
      <c r="I601" s="57"/>
      <c r="J601" s="57"/>
      <c r="K601" s="57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  <c r="AB601" s="121"/>
      <c r="AC601" s="121"/>
      <c r="AD601" s="121"/>
      <c r="AE601" s="121"/>
      <c r="AF601" s="121"/>
      <c r="AG601" s="121"/>
      <c r="AH601" s="121"/>
      <c r="AI601" s="121"/>
      <c r="AJ601" s="121"/>
      <c r="AK601" s="121"/>
    </row>
    <row r="602" spans="2:37">
      <c r="B602" s="134"/>
      <c r="C602" s="57"/>
      <c r="D602" s="57"/>
      <c r="E602" s="57"/>
      <c r="F602" s="57"/>
      <c r="G602" s="57"/>
      <c r="H602" s="57"/>
      <c r="I602" s="57"/>
      <c r="J602" s="57"/>
      <c r="K602" s="57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  <c r="AB602" s="121"/>
      <c r="AC602" s="121"/>
      <c r="AD602" s="121"/>
      <c r="AE602" s="121"/>
      <c r="AF602" s="121"/>
      <c r="AG602" s="121"/>
      <c r="AH602" s="121"/>
      <c r="AI602" s="121"/>
      <c r="AJ602" s="121"/>
      <c r="AK602" s="121"/>
    </row>
    <row r="603" spans="2:37">
      <c r="B603" s="134"/>
      <c r="C603" s="57"/>
      <c r="D603" s="57"/>
      <c r="E603" s="57"/>
      <c r="F603" s="57"/>
      <c r="G603" s="57"/>
      <c r="H603" s="57"/>
      <c r="I603" s="57"/>
      <c r="J603" s="57"/>
      <c r="K603" s="57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  <c r="AB603" s="121"/>
      <c r="AC603" s="121"/>
      <c r="AD603" s="121"/>
      <c r="AE603" s="121"/>
      <c r="AF603" s="121"/>
      <c r="AG603" s="121"/>
      <c r="AH603" s="121"/>
      <c r="AI603" s="121"/>
      <c r="AJ603" s="121"/>
      <c r="AK603" s="121"/>
    </row>
    <row r="604" spans="2:37">
      <c r="B604" s="134"/>
      <c r="C604" s="57"/>
      <c r="D604" s="57"/>
      <c r="E604" s="57"/>
      <c r="F604" s="57"/>
      <c r="G604" s="57"/>
      <c r="H604" s="57"/>
      <c r="I604" s="57"/>
      <c r="J604" s="57"/>
      <c r="K604" s="57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  <c r="AC604" s="121"/>
      <c r="AD604" s="121"/>
      <c r="AE604" s="121"/>
      <c r="AF604" s="121"/>
      <c r="AG604" s="121"/>
      <c r="AH604" s="121"/>
      <c r="AI604" s="121"/>
      <c r="AJ604" s="121"/>
      <c r="AK604" s="121"/>
    </row>
    <row r="605" spans="2:37">
      <c r="B605" s="134"/>
      <c r="C605" s="57"/>
      <c r="D605" s="57"/>
      <c r="E605" s="57"/>
      <c r="F605" s="57"/>
      <c r="G605" s="57"/>
      <c r="H605" s="57"/>
      <c r="I605" s="57"/>
      <c r="J605" s="57"/>
      <c r="K605" s="57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  <c r="AB605" s="121"/>
      <c r="AC605" s="121"/>
      <c r="AD605" s="121"/>
      <c r="AE605" s="121"/>
      <c r="AF605" s="121"/>
      <c r="AG605" s="121"/>
      <c r="AH605" s="121"/>
      <c r="AI605" s="121"/>
      <c r="AJ605" s="121"/>
      <c r="AK605" s="121"/>
    </row>
    <row r="606" spans="2:37">
      <c r="B606" s="134"/>
      <c r="C606" s="57"/>
      <c r="D606" s="57"/>
      <c r="E606" s="57"/>
      <c r="F606" s="57"/>
      <c r="G606" s="57"/>
      <c r="H606" s="57"/>
      <c r="I606" s="57"/>
      <c r="J606" s="57"/>
      <c r="K606" s="57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  <c r="AB606" s="121"/>
      <c r="AC606" s="121"/>
      <c r="AD606" s="121"/>
      <c r="AE606" s="121"/>
      <c r="AF606" s="121"/>
      <c r="AG606" s="121"/>
      <c r="AH606" s="121"/>
      <c r="AI606" s="121"/>
      <c r="AJ606" s="121"/>
      <c r="AK606" s="121"/>
    </row>
    <row r="607" spans="2:37">
      <c r="B607" s="134"/>
      <c r="C607" s="57"/>
      <c r="D607" s="57"/>
      <c r="E607" s="57"/>
      <c r="F607" s="57"/>
      <c r="G607" s="57"/>
      <c r="H607" s="57"/>
      <c r="I607" s="57"/>
      <c r="J607" s="57"/>
      <c r="K607" s="57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  <c r="AC607" s="121"/>
      <c r="AD607" s="121"/>
      <c r="AE607" s="121"/>
      <c r="AF607" s="121"/>
      <c r="AG607" s="121"/>
      <c r="AH607" s="121"/>
      <c r="AI607" s="121"/>
      <c r="AJ607" s="121"/>
      <c r="AK607" s="121"/>
    </row>
    <row r="608" spans="2:37">
      <c r="B608" s="134"/>
      <c r="C608" s="57"/>
      <c r="D608" s="57"/>
      <c r="E608" s="57"/>
      <c r="F608" s="57"/>
      <c r="G608" s="57"/>
      <c r="H608" s="57"/>
      <c r="I608" s="57"/>
      <c r="J608" s="57"/>
      <c r="K608" s="57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  <c r="AC608" s="121"/>
      <c r="AD608" s="121"/>
      <c r="AE608" s="121"/>
      <c r="AF608" s="121"/>
      <c r="AG608" s="121"/>
      <c r="AH608" s="121"/>
      <c r="AI608" s="121"/>
      <c r="AJ608" s="121"/>
      <c r="AK608" s="121"/>
    </row>
    <row r="609" spans="2:37">
      <c r="B609" s="134"/>
      <c r="C609" s="57"/>
      <c r="D609" s="57"/>
      <c r="E609" s="57"/>
      <c r="F609" s="57"/>
      <c r="G609" s="57"/>
      <c r="H609" s="57"/>
      <c r="I609" s="57"/>
      <c r="J609" s="57"/>
      <c r="K609" s="57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  <c r="AB609" s="121"/>
      <c r="AC609" s="121"/>
      <c r="AD609" s="121"/>
      <c r="AE609" s="121"/>
      <c r="AF609" s="121"/>
      <c r="AG609" s="121"/>
      <c r="AH609" s="121"/>
      <c r="AI609" s="121"/>
      <c r="AJ609" s="121"/>
      <c r="AK609" s="121"/>
    </row>
    <row r="610" spans="2:37">
      <c r="B610" s="134"/>
      <c r="C610" s="57"/>
      <c r="D610" s="57"/>
      <c r="E610" s="57"/>
      <c r="F610" s="57"/>
      <c r="G610" s="57"/>
      <c r="H610" s="57"/>
      <c r="I610" s="57"/>
      <c r="J610" s="57"/>
      <c r="K610" s="57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  <c r="AB610" s="121"/>
      <c r="AC610" s="121"/>
      <c r="AD610" s="121"/>
      <c r="AE610" s="121"/>
      <c r="AF610" s="121"/>
      <c r="AG610" s="121"/>
      <c r="AH610" s="121"/>
      <c r="AI610" s="121"/>
      <c r="AJ610" s="121"/>
      <c r="AK610" s="121"/>
    </row>
    <row r="611" spans="2:37">
      <c r="B611" s="134"/>
      <c r="C611" s="57"/>
      <c r="D611" s="57"/>
      <c r="E611" s="57"/>
      <c r="F611" s="57"/>
      <c r="G611" s="57"/>
      <c r="H611" s="57"/>
      <c r="I611" s="57"/>
      <c r="J611" s="57"/>
      <c r="K611" s="57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  <c r="AB611" s="121"/>
      <c r="AC611" s="121"/>
      <c r="AD611" s="121"/>
      <c r="AE611" s="121"/>
      <c r="AF611" s="121"/>
      <c r="AG611" s="121"/>
      <c r="AH611" s="121"/>
      <c r="AI611" s="121"/>
      <c r="AJ611" s="121"/>
      <c r="AK611" s="121"/>
    </row>
    <row r="612" spans="2:37">
      <c r="B612" s="134"/>
      <c r="C612" s="57"/>
      <c r="D612" s="57"/>
      <c r="E612" s="57"/>
      <c r="F612" s="57"/>
      <c r="G612" s="57"/>
      <c r="H612" s="57"/>
      <c r="I612" s="57"/>
      <c r="J612" s="57"/>
      <c r="K612" s="57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  <c r="AB612" s="121"/>
      <c r="AC612" s="121"/>
      <c r="AD612" s="121"/>
      <c r="AE612" s="121"/>
      <c r="AF612" s="121"/>
      <c r="AG612" s="121"/>
      <c r="AH612" s="121"/>
      <c r="AI612" s="121"/>
      <c r="AJ612" s="121"/>
      <c r="AK612" s="121"/>
    </row>
    <row r="613" spans="2:37">
      <c r="B613" s="134"/>
      <c r="C613" s="57"/>
      <c r="D613" s="57"/>
      <c r="E613" s="57"/>
      <c r="F613" s="57"/>
      <c r="G613" s="57"/>
      <c r="H613" s="57"/>
      <c r="I613" s="57"/>
      <c r="J613" s="57"/>
      <c r="K613" s="57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  <c r="AB613" s="121"/>
      <c r="AC613" s="121"/>
      <c r="AD613" s="121"/>
      <c r="AE613" s="121"/>
      <c r="AF613" s="121"/>
      <c r="AG613" s="121"/>
      <c r="AH613" s="121"/>
      <c r="AI613" s="121"/>
      <c r="AJ613" s="121"/>
      <c r="AK613" s="121"/>
    </row>
    <row r="614" spans="2:37">
      <c r="B614" s="134"/>
      <c r="C614" s="57"/>
      <c r="D614" s="57"/>
      <c r="E614" s="57"/>
      <c r="F614" s="57"/>
      <c r="G614" s="57"/>
      <c r="H614" s="57"/>
      <c r="I614" s="57"/>
      <c r="J614" s="57"/>
      <c r="K614" s="57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</row>
    <row r="615" spans="2:37">
      <c r="B615" s="134"/>
      <c r="C615" s="57"/>
      <c r="D615" s="57"/>
      <c r="E615" s="57"/>
      <c r="F615" s="57"/>
      <c r="G615" s="57"/>
      <c r="H615" s="57"/>
      <c r="I615" s="57"/>
      <c r="J615" s="57"/>
      <c r="K615" s="57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</row>
    <row r="616" spans="2:37">
      <c r="B616" s="134"/>
      <c r="C616" s="57"/>
      <c r="D616" s="57"/>
      <c r="E616" s="57"/>
      <c r="F616" s="57"/>
      <c r="G616" s="57"/>
      <c r="H616" s="57"/>
      <c r="I616" s="57"/>
      <c r="J616" s="57"/>
      <c r="K616" s="57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  <c r="AB616" s="121"/>
      <c r="AC616" s="121"/>
      <c r="AD616" s="121"/>
      <c r="AE616" s="121"/>
      <c r="AF616" s="121"/>
      <c r="AG616" s="121"/>
      <c r="AH616" s="121"/>
      <c r="AI616" s="121"/>
      <c r="AJ616" s="121"/>
      <c r="AK616" s="121"/>
    </row>
    <row r="617" spans="2:37">
      <c r="B617" s="134"/>
      <c r="C617" s="57"/>
      <c r="D617" s="57"/>
      <c r="E617" s="57"/>
      <c r="F617" s="57"/>
      <c r="G617" s="57"/>
      <c r="H617" s="57"/>
      <c r="I617" s="57"/>
      <c r="J617" s="57"/>
      <c r="K617" s="57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1"/>
    </row>
    <row r="618" spans="2:37">
      <c r="B618" s="134"/>
      <c r="C618" s="57"/>
      <c r="D618" s="57"/>
      <c r="E618" s="57"/>
      <c r="F618" s="57"/>
      <c r="G618" s="57"/>
      <c r="H618" s="57"/>
      <c r="I618" s="57"/>
      <c r="J618" s="57"/>
      <c r="K618" s="57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</row>
    <row r="619" spans="2:37">
      <c r="B619" s="134"/>
      <c r="C619" s="57"/>
      <c r="D619" s="57"/>
      <c r="E619" s="57"/>
      <c r="F619" s="57"/>
      <c r="G619" s="57"/>
      <c r="H619" s="57"/>
      <c r="I619" s="57"/>
      <c r="J619" s="57"/>
      <c r="K619" s="57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</row>
    <row r="620" spans="2:37">
      <c r="B620" s="134"/>
      <c r="C620" s="57"/>
      <c r="D620" s="57"/>
      <c r="E620" s="57"/>
      <c r="F620" s="57"/>
      <c r="G620" s="57"/>
      <c r="H620" s="57"/>
      <c r="I620" s="57"/>
      <c r="J620" s="57"/>
      <c r="K620" s="57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</row>
    <row r="621" spans="2:37">
      <c r="B621" s="134"/>
      <c r="C621" s="57"/>
      <c r="D621" s="57"/>
      <c r="E621" s="57"/>
      <c r="F621" s="57"/>
      <c r="G621" s="57"/>
      <c r="H621" s="57"/>
      <c r="I621" s="57"/>
      <c r="J621" s="57"/>
      <c r="K621" s="57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</row>
    <row r="622" spans="2:37">
      <c r="B622" s="134"/>
      <c r="C622" s="57"/>
      <c r="D622" s="57"/>
      <c r="E622" s="57"/>
      <c r="F622" s="57"/>
      <c r="G622" s="57"/>
      <c r="H622" s="57"/>
      <c r="I622" s="57"/>
      <c r="J622" s="57"/>
      <c r="K622" s="57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</row>
    <row r="623" spans="2:37">
      <c r="B623" s="134"/>
      <c r="C623" s="57"/>
      <c r="D623" s="57"/>
      <c r="E623" s="57"/>
      <c r="F623" s="57"/>
      <c r="G623" s="57"/>
      <c r="H623" s="57"/>
      <c r="I623" s="57"/>
      <c r="J623" s="57"/>
      <c r="K623" s="57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</row>
    <row r="624" spans="2:37">
      <c r="B624" s="134"/>
      <c r="C624" s="57"/>
      <c r="D624" s="57"/>
      <c r="E624" s="57"/>
      <c r="F624" s="57"/>
      <c r="G624" s="57"/>
      <c r="H624" s="57"/>
      <c r="I624" s="57"/>
      <c r="J624" s="57"/>
      <c r="K624" s="57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</row>
    <row r="625" spans="2:37">
      <c r="B625" s="134"/>
      <c r="C625" s="57"/>
      <c r="D625" s="57"/>
      <c r="E625" s="57"/>
      <c r="F625" s="57"/>
      <c r="G625" s="57"/>
      <c r="H625" s="57"/>
      <c r="I625" s="57"/>
      <c r="J625" s="57"/>
      <c r="K625" s="57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</row>
    <row r="626" spans="2:37">
      <c r="B626" s="134"/>
      <c r="C626" s="57"/>
      <c r="D626" s="57"/>
      <c r="E626" s="57"/>
      <c r="F626" s="57"/>
      <c r="G626" s="57"/>
      <c r="H626" s="57"/>
      <c r="I626" s="57"/>
      <c r="J626" s="57"/>
      <c r="K626" s="57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</row>
    <row r="627" spans="2:37">
      <c r="B627" s="134"/>
      <c r="C627" s="57"/>
      <c r="D627" s="57"/>
      <c r="E627" s="57"/>
      <c r="F627" s="57"/>
      <c r="G627" s="57"/>
      <c r="H627" s="57"/>
      <c r="I627" s="57"/>
      <c r="J627" s="57"/>
      <c r="K627" s="57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</row>
    <row r="628" spans="2:37">
      <c r="B628" s="134"/>
      <c r="C628" s="57"/>
      <c r="D628" s="57"/>
      <c r="E628" s="57"/>
      <c r="F628" s="57"/>
      <c r="G628" s="57"/>
      <c r="H628" s="57"/>
      <c r="I628" s="57"/>
      <c r="J628" s="57"/>
      <c r="K628" s="57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  <c r="AB628" s="121"/>
      <c r="AC628" s="121"/>
      <c r="AD628" s="121"/>
      <c r="AE628" s="121"/>
      <c r="AF628" s="121"/>
      <c r="AG628" s="121"/>
      <c r="AH628" s="121"/>
      <c r="AI628" s="121"/>
      <c r="AJ628" s="121"/>
      <c r="AK628" s="121"/>
    </row>
    <row r="629" spans="2:37">
      <c r="B629" s="134"/>
      <c r="C629" s="57"/>
      <c r="D629" s="57"/>
      <c r="E629" s="57"/>
      <c r="F629" s="57"/>
      <c r="G629" s="57"/>
      <c r="H629" s="57"/>
      <c r="I629" s="57"/>
      <c r="J629" s="57"/>
      <c r="K629" s="57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  <c r="AB629" s="121"/>
      <c r="AC629" s="121"/>
      <c r="AD629" s="121"/>
      <c r="AE629" s="121"/>
      <c r="AF629" s="121"/>
      <c r="AG629" s="121"/>
      <c r="AH629" s="121"/>
      <c r="AI629" s="121"/>
      <c r="AJ629" s="121"/>
      <c r="AK629" s="121"/>
    </row>
    <row r="630" spans="2:37">
      <c r="B630" s="134"/>
      <c r="C630" s="57"/>
      <c r="D630" s="57"/>
      <c r="E630" s="57"/>
      <c r="F630" s="57"/>
      <c r="G630" s="57"/>
      <c r="H630" s="57"/>
      <c r="I630" s="57"/>
      <c r="J630" s="57"/>
      <c r="K630" s="57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  <c r="AB630" s="121"/>
      <c r="AC630" s="121"/>
      <c r="AD630" s="121"/>
      <c r="AE630" s="121"/>
      <c r="AF630" s="121"/>
      <c r="AG630" s="121"/>
      <c r="AH630" s="121"/>
      <c r="AI630" s="121"/>
      <c r="AJ630" s="121"/>
      <c r="AK630" s="121"/>
    </row>
    <row r="631" spans="2:37">
      <c r="B631" s="134"/>
      <c r="C631" s="57"/>
      <c r="D631" s="57"/>
      <c r="E631" s="57"/>
      <c r="F631" s="57"/>
      <c r="G631" s="57"/>
      <c r="H631" s="57"/>
      <c r="I631" s="57"/>
      <c r="J631" s="57"/>
      <c r="K631" s="57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  <c r="AB631" s="121"/>
      <c r="AC631" s="121"/>
      <c r="AD631" s="121"/>
      <c r="AE631" s="121"/>
      <c r="AF631" s="121"/>
      <c r="AG631" s="121"/>
      <c r="AH631" s="121"/>
      <c r="AI631" s="121"/>
      <c r="AJ631" s="121"/>
      <c r="AK631" s="121"/>
    </row>
    <row r="632" spans="2:37">
      <c r="B632" s="134"/>
      <c r="C632" s="57"/>
      <c r="D632" s="57"/>
      <c r="E632" s="57"/>
      <c r="F632" s="57"/>
      <c r="G632" s="57"/>
      <c r="H632" s="57"/>
      <c r="I632" s="57"/>
      <c r="J632" s="57"/>
      <c r="K632" s="57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  <c r="AB632" s="121"/>
      <c r="AC632" s="121"/>
      <c r="AD632" s="121"/>
      <c r="AE632" s="121"/>
      <c r="AF632" s="121"/>
      <c r="AG632" s="121"/>
      <c r="AH632" s="121"/>
      <c r="AI632" s="121"/>
      <c r="AJ632" s="121"/>
      <c r="AK632" s="121"/>
    </row>
    <row r="633" spans="2:37">
      <c r="B633" s="134"/>
      <c r="C633" s="57"/>
      <c r="D633" s="57"/>
      <c r="E633" s="57"/>
      <c r="F633" s="57"/>
      <c r="G633" s="57"/>
      <c r="H633" s="57"/>
      <c r="I633" s="57"/>
      <c r="J633" s="57"/>
      <c r="K633" s="57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  <c r="AB633" s="121"/>
      <c r="AC633" s="121"/>
      <c r="AD633" s="121"/>
      <c r="AE633" s="121"/>
      <c r="AF633" s="121"/>
      <c r="AG633" s="121"/>
      <c r="AH633" s="121"/>
      <c r="AI633" s="121"/>
      <c r="AJ633" s="121"/>
      <c r="AK633" s="121"/>
    </row>
    <row r="634" spans="2:37">
      <c r="B634" s="134"/>
      <c r="C634" s="57"/>
      <c r="D634" s="57"/>
      <c r="E634" s="57"/>
      <c r="F634" s="57"/>
      <c r="G634" s="57"/>
      <c r="H634" s="57"/>
      <c r="I634" s="57"/>
      <c r="J634" s="57"/>
      <c r="K634" s="57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  <c r="AB634" s="121"/>
      <c r="AC634" s="121"/>
      <c r="AD634" s="121"/>
      <c r="AE634" s="121"/>
      <c r="AF634" s="121"/>
      <c r="AG634" s="121"/>
      <c r="AH634" s="121"/>
      <c r="AI634" s="121"/>
      <c r="AJ634" s="121"/>
      <c r="AK634" s="121"/>
    </row>
    <row r="635" spans="2:37">
      <c r="B635" s="134"/>
      <c r="C635" s="57"/>
      <c r="D635" s="57"/>
      <c r="E635" s="57"/>
      <c r="F635" s="57"/>
      <c r="G635" s="57"/>
      <c r="H635" s="57"/>
      <c r="I635" s="57"/>
      <c r="J635" s="57"/>
      <c r="K635" s="57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  <c r="AB635" s="121"/>
      <c r="AC635" s="121"/>
      <c r="AD635" s="121"/>
      <c r="AE635" s="121"/>
      <c r="AF635" s="121"/>
      <c r="AG635" s="121"/>
      <c r="AH635" s="121"/>
      <c r="AI635" s="121"/>
      <c r="AJ635" s="121"/>
      <c r="AK635" s="121"/>
    </row>
    <row r="636" spans="2:37">
      <c r="B636" s="134"/>
      <c r="C636" s="57"/>
      <c r="D636" s="57"/>
      <c r="E636" s="57"/>
      <c r="F636" s="57"/>
      <c r="G636" s="57"/>
      <c r="H636" s="57"/>
      <c r="I636" s="57"/>
      <c r="J636" s="57"/>
      <c r="K636" s="57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  <c r="AB636" s="121"/>
      <c r="AC636" s="121"/>
      <c r="AD636" s="121"/>
      <c r="AE636" s="121"/>
      <c r="AF636" s="121"/>
      <c r="AG636" s="121"/>
      <c r="AH636" s="121"/>
      <c r="AI636" s="121"/>
      <c r="AJ636" s="121"/>
      <c r="AK636" s="121"/>
    </row>
    <row r="637" spans="2:37">
      <c r="B637" s="134"/>
      <c r="C637" s="57"/>
      <c r="D637" s="57"/>
      <c r="E637" s="57"/>
      <c r="F637" s="57"/>
      <c r="G637" s="57"/>
      <c r="H637" s="57"/>
      <c r="I637" s="57"/>
      <c r="J637" s="57"/>
      <c r="K637" s="57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  <c r="AB637" s="121"/>
      <c r="AC637" s="121"/>
      <c r="AD637" s="121"/>
      <c r="AE637" s="121"/>
      <c r="AF637" s="121"/>
      <c r="AG637" s="121"/>
      <c r="AH637" s="121"/>
      <c r="AI637" s="121"/>
      <c r="AJ637" s="121"/>
      <c r="AK637" s="121"/>
    </row>
    <row r="638" spans="2:37">
      <c r="B638" s="134"/>
      <c r="C638" s="57"/>
      <c r="D638" s="57"/>
      <c r="E638" s="57"/>
      <c r="F638" s="57"/>
      <c r="G638" s="57"/>
      <c r="H638" s="57"/>
      <c r="I638" s="57"/>
      <c r="J638" s="57"/>
      <c r="K638" s="57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  <c r="AB638" s="121"/>
      <c r="AC638" s="121"/>
      <c r="AD638" s="121"/>
      <c r="AE638" s="121"/>
      <c r="AF638" s="121"/>
      <c r="AG638" s="121"/>
      <c r="AH638" s="121"/>
      <c r="AI638" s="121"/>
      <c r="AJ638" s="121"/>
      <c r="AK638" s="121"/>
    </row>
    <row r="639" spans="2:37">
      <c r="B639" s="134"/>
      <c r="C639" s="57"/>
      <c r="D639" s="57"/>
      <c r="E639" s="57"/>
      <c r="F639" s="57"/>
      <c r="G639" s="57"/>
      <c r="H639" s="57"/>
      <c r="I639" s="57"/>
      <c r="J639" s="57"/>
      <c r="K639" s="57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  <c r="AB639" s="121"/>
      <c r="AC639" s="121"/>
      <c r="AD639" s="121"/>
      <c r="AE639" s="121"/>
      <c r="AF639" s="121"/>
      <c r="AG639" s="121"/>
      <c r="AH639" s="121"/>
      <c r="AI639" s="121"/>
      <c r="AJ639" s="121"/>
      <c r="AK639" s="121"/>
    </row>
    <row r="640" spans="2:37">
      <c r="B640" s="134"/>
      <c r="C640" s="57"/>
      <c r="D640" s="57"/>
      <c r="E640" s="57"/>
      <c r="F640" s="57"/>
      <c r="G640" s="57"/>
      <c r="H640" s="57"/>
      <c r="I640" s="57"/>
      <c r="J640" s="57"/>
      <c r="K640" s="57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  <c r="AB640" s="121"/>
      <c r="AC640" s="121"/>
      <c r="AD640" s="121"/>
      <c r="AE640" s="121"/>
      <c r="AF640" s="121"/>
      <c r="AG640" s="121"/>
      <c r="AH640" s="121"/>
      <c r="AI640" s="121"/>
      <c r="AJ640" s="121"/>
      <c r="AK640" s="121"/>
    </row>
    <row r="641" spans="2:37">
      <c r="B641" s="134"/>
      <c r="C641" s="57"/>
      <c r="D641" s="57"/>
      <c r="E641" s="57"/>
      <c r="F641" s="57"/>
      <c r="G641" s="57"/>
      <c r="H641" s="57"/>
      <c r="I641" s="57"/>
      <c r="J641" s="57"/>
      <c r="K641" s="57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  <c r="AB641" s="121"/>
      <c r="AC641" s="121"/>
      <c r="AD641" s="121"/>
      <c r="AE641" s="121"/>
      <c r="AF641" s="121"/>
      <c r="AG641" s="121"/>
      <c r="AH641" s="121"/>
      <c r="AI641" s="121"/>
      <c r="AJ641" s="121"/>
      <c r="AK641" s="121"/>
    </row>
    <row r="642" spans="2:37">
      <c r="B642" s="134"/>
      <c r="C642" s="57"/>
      <c r="D642" s="57"/>
      <c r="E642" s="57"/>
      <c r="F642" s="57"/>
      <c r="G642" s="57"/>
      <c r="H642" s="57"/>
      <c r="I642" s="57"/>
      <c r="J642" s="57"/>
      <c r="K642" s="57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  <c r="AC642" s="121"/>
      <c r="AD642" s="121"/>
      <c r="AE642" s="121"/>
      <c r="AF642" s="121"/>
      <c r="AG642" s="121"/>
      <c r="AH642" s="121"/>
      <c r="AI642" s="121"/>
      <c r="AJ642" s="121"/>
      <c r="AK642" s="121"/>
    </row>
    <row r="643" spans="2:37">
      <c r="B643" s="134"/>
      <c r="C643" s="57"/>
      <c r="D643" s="57"/>
      <c r="E643" s="57"/>
      <c r="F643" s="57"/>
      <c r="G643" s="57"/>
      <c r="H643" s="57"/>
      <c r="I643" s="57"/>
      <c r="J643" s="57"/>
      <c r="K643" s="57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  <c r="AB643" s="121"/>
      <c r="AC643" s="121"/>
      <c r="AD643" s="121"/>
      <c r="AE643" s="121"/>
      <c r="AF643" s="121"/>
      <c r="AG643" s="121"/>
      <c r="AH643" s="121"/>
      <c r="AI643" s="121"/>
      <c r="AJ643" s="121"/>
      <c r="AK643" s="121"/>
    </row>
    <row r="644" spans="2:37">
      <c r="B644" s="134"/>
      <c r="C644" s="57"/>
      <c r="D644" s="57"/>
      <c r="E644" s="57"/>
      <c r="F644" s="57"/>
      <c r="G644" s="57"/>
      <c r="H644" s="57"/>
      <c r="I644" s="57"/>
      <c r="J644" s="57"/>
      <c r="K644" s="57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  <c r="AB644" s="121"/>
      <c r="AC644" s="121"/>
      <c r="AD644" s="121"/>
      <c r="AE644" s="121"/>
      <c r="AF644" s="121"/>
      <c r="AG644" s="121"/>
      <c r="AH644" s="121"/>
      <c r="AI644" s="121"/>
      <c r="AJ644" s="121"/>
      <c r="AK644" s="121"/>
    </row>
    <row r="645" spans="2:37">
      <c r="B645" s="134"/>
      <c r="C645" s="57"/>
      <c r="D645" s="57"/>
      <c r="E645" s="57"/>
      <c r="F645" s="57"/>
      <c r="G645" s="57"/>
      <c r="H645" s="57"/>
      <c r="I645" s="57"/>
      <c r="J645" s="57"/>
      <c r="K645" s="57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  <c r="AB645" s="121"/>
      <c r="AC645" s="121"/>
      <c r="AD645" s="121"/>
      <c r="AE645" s="121"/>
      <c r="AF645" s="121"/>
      <c r="AG645" s="121"/>
      <c r="AH645" s="121"/>
      <c r="AI645" s="121"/>
      <c r="AJ645" s="121"/>
      <c r="AK645" s="121"/>
    </row>
    <row r="646" spans="2:37">
      <c r="B646" s="134"/>
      <c r="C646" s="57"/>
      <c r="D646" s="57"/>
      <c r="E646" s="57"/>
      <c r="F646" s="57"/>
      <c r="G646" s="57"/>
      <c r="H646" s="57"/>
      <c r="I646" s="57"/>
      <c r="J646" s="57"/>
      <c r="K646" s="57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  <c r="AB646" s="121"/>
      <c r="AC646" s="121"/>
      <c r="AD646" s="121"/>
      <c r="AE646" s="121"/>
      <c r="AF646" s="121"/>
      <c r="AG646" s="121"/>
      <c r="AH646" s="121"/>
      <c r="AI646" s="121"/>
      <c r="AJ646" s="121"/>
      <c r="AK646" s="121"/>
    </row>
    <row r="647" spans="2:37">
      <c r="B647" s="134"/>
      <c r="C647" s="57"/>
      <c r="D647" s="57"/>
      <c r="E647" s="57"/>
      <c r="F647" s="57"/>
      <c r="G647" s="57"/>
      <c r="H647" s="57"/>
      <c r="I647" s="57"/>
      <c r="J647" s="57"/>
      <c r="K647" s="57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  <c r="AC647" s="121"/>
      <c r="AD647" s="121"/>
      <c r="AE647" s="121"/>
      <c r="AF647" s="121"/>
      <c r="AG647" s="121"/>
      <c r="AH647" s="121"/>
      <c r="AI647" s="121"/>
      <c r="AJ647" s="121"/>
      <c r="AK647" s="121"/>
    </row>
    <row r="648" spans="2:37">
      <c r="B648" s="134"/>
      <c r="C648" s="57"/>
      <c r="D648" s="57"/>
      <c r="E648" s="57"/>
      <c r="F648" s="57"/>
      <c r="G648" s="57"/>
      <c r="H648" s="57"/>
      <c r="I648" s="57"/>
      <c r="J648" s="57"/>
      <c r="K648" s="57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  <c r="AB648" s="121"/>
      <c r="AC648" s="121"/>
      <c r="AD648" s="121"/>
      <c r="AE648" s="121"/>
      <c r="AF648" s="121"/>
      <c r="AG648" s="121"/>
      <c r="AH648" s="121"/>
      <c r="AI648" s="121"/>
      <c r="AJ648" s="121"/>
      <c r="AK648" s="121"/>
    </row>
    <row r="649" spans="2:37">
      <c r="B649" s="134"/>
      <c r="C649" s="57"/>
      <c r="D649" s="57"/>
      <c r="E649" s="57"/>
      <c r="F649" s="57"/>
      <c r="G649" s="57"/>
      <c r="H649" s="57"/>
      <c r="I649" s="57"/>
      <c r="J649" s="57"/>
      <c r="K649" s="57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  <c r="AB649" s="121"/>
      <c r="AC649" s="121"/>
      <c r="AD649" s="121"/>
      <c r="AE649" s="121"/>
      <c r="AF649" s="121"/>
      <c r="AG649" s="121"/>
      <c r="AH649" s="121"/>
      <c r="AI649" s="121"/>
      <c r="AJ649" s="121"/>
      <c r="AK649" s="121"/>
    </row>
    <row r="650" spans="2:37">
      <c r="B650" s="134"/>
      <c r="C650" s="57"/>
      <c r="D650" s="57"/>
      <c r="E650" s="57"/>
      <c r="F650" s="57"/>
      <c r="G650" s="57"/>
      <c r="H650" s="57"/>
      <c r="I650" s="57"/>
      <c r="J650" s="57"/>
      <c r="K650" s="57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  <c r="AB650" s="121"/>
      <c r="AC650" s="121"/>
      <c r="AD650" s="121"/>
      <c r="AE650" s="121"/>
      <c r="AF650" s="121"/>
      <c r="AG650" s="121"/>
      <c r="AH650" s="121"/>
      <c r="AI650" s="121"/>
      <c r="AJ650" s="121"/>
      <c r="AK650" s="121"/>
    </row>
    <row r="651" spans="2:37">
      <c r="B651" s="134"/>
      <c r="C651" s="57"/>
      <c r="D651" s="57"/>
      <c r="E651" s="57"/>
      <c r="F651" s="57"/>
      <c r="G651" s="57"/>
      <c r="H651" s="57"/>
      <c r="I651" s="57"/>
      <c r="J651" s="57"/>
      <c r="K651" s="57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  <c r="AB651" s="121"/>
      <c r="AC651" s="121"/>
      <c r="AD651" s="121"/>
      <c r="AE651" s="121"/>
      <c r="AF651" s="121"/>
      <c r="AG651" s="121"/>
      <c r="AH651" s="121"/>
      <c r="AI651" s="121"/>
      <c r="AJ651" s="121"/>
      <c r="AK651" s="121"/>
    </row>
    <row r="652" spans="2:37">
      <c r="B652" s="134"/>
      <c r="C652" s="57"/>
      <c r="D652" s="57"/>
      <c r="E652" s="57"/>
      <c r="F652" s="57"/>
      <c r="G652" s="57"/>
      <c r="H652" s="57"/>
      <c r="I652" s="57"/>
      <c r="J652" s="57"/>
      <c r="K652" s="57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</row>
    <row r="653" spans="2:37">
      <c r="B653" s="134"/>
      <c r="C653" s="57"/>
      <c r="D653" s="57"/>
      <c r="E653" s="57"/>
      <c r="F653" s="57"/>
      <c r="G653" s="57"/>
      <c r="H653" s="57"/>
      <c r="I653" s="57"/>
      <c r="J653" s="57"/>
      <c r="K653" s="57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</row>
    <row r="654" spans="2:37">
      <c r="B654" s="134"/>
      <c r="C654" s="57"/>
      <c r="D654" s="57"/>
      <c r="E654" s="57"/>
      <c r="F654" s="57"/>
      <c r="G654" s="57"/>
      <c r="H654" s="57"/>
      <c r="I654" s="57"/>
      <c r="J654" s="57"/>
      <c r="K654" s="57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  <c r="AB654" s="121"/>
      <c r="AC654" s="121"/>
      <c r="AD654" s="121"/>
      <c r="AE654" s="121"/>
      <c r="AF654" s="121"/>
      <c r="AG654" s="121"/>
      <c r="AH654" s="121"/>
      <c r="AI654" s="121"/>
      <c r="AJ654" s="121"/>
      <c r="AK654" s="121"/>
    </row>
    <row r="655" spans="2:37">
      <c r="B655" s="134"/>
      <c r="C655" s="57"/>
      <c r="D655" s="57"/>
      <c r="E655" s="57"/>
      <c r="F655" s="57"/>
      <c r="G655" s="57"/>
      <c r="H655" s="57"/>
      <c r="I655" s="57"/>
      <c r="J655" s="57"/>
      <c r="K655" s="57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1"/>
    </row>
    <row r="656" spans="2:37">
      <c r="B656" s="134"/>
      <c r="C656" s="57"/>
      <c r="D656" s="57"/>
      <c r="E656" s="57"/>
      <c r="F656" s="57"/>
      <c r="G656" s="57"/>
      <c r="H656" s="57"/>
      <c r="I656" s="57"/>
      <c r="J656" s="57"/>
      <c r="K656" s="57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</row>
    <row r="657" spans="2:37">
      <c r="B657" s="134"/>
      <c r="C657" s="57"/>
      <c r="D657" s="57"/>
      <c r="E657" s="57"/>
      <c r="F657" s="57"/>
      <c r="G657" s="57"/>
      <c r="H657" s="57"/>
      <c r="I657" s="57"/>
      <c r="J657" s="57"/>
      <c r="K657" s="57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</row>
    <row r="658" spans="2:37">
      <c r="B658" s="134"/>
      <c r="C658" s="57"/>
      <c r="D658" s="57"/>
      <c r="E658" s="57"/>
      <c r="F658" s="57"/>
      <c r="G658" s="57"/>
      <c r="H658" s="57"/>
      <c r="I658" s="57"/>
      <c r="J658" s="57"/>
      <c r="K658" s="57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</row>
    <row r="659" spans="2:37">
      <c r="B659" s="134"/>
      <c r="C659" s="57"/>
      <c r="D659" s="57"/>
      <c r="E659" s="57"/>
      <c r="F659" s="57"/>
      <c r="G659" s="57"/>
      <c r="H659" s="57"/>
      <c r="I659" s="57"/>
      <c r="J659" s="57"/>
      <c r="K659" s="57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</row>
    <row r="660" spans="2:37">
      <c r="B660" s="134"/>
      <c r="C660" s="57"/>
      <c r="D660" s="57"/>
      <c r="E660" s="57"/>
      <c r="F660" s="57"/>
      <c r="G660" s="57"/>
      <c r="H660" s="57"/>
      <c r="I660" s="57"/>
      <c r="J660" s="57"/>
      <c r="K660" s="57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</row>
    <row r="661" spans="2:37">
      <c r="B661" s="135"/>
      <c r="C661" s="136"/>
      <c r="D661" s="136"/>
      <c r="E661" s="136"/>
      <c r="F661" s="136"/>
      <c r="G661" s="136"/>
      <c r="H661" s="136"/>
      <c r="I661" s="136"/>
      <c r="J661" s="136"/>
      <c r="K661" s="136"/>
    </row>
  </sheetData>
  <sheetProtection algorithmName="SHA-512" hashValue="CPs/RKJ6mlzevuVqadD2Q/OebCxNueu58Y3UC7Ao4XhjhpUr+mNrLuklt+r3pjVnT2yA4f8NHBfepneLQD1lkw==" saltValue="HgcIFbnQjsLyGqnIhPnElg==" spinCount="100000" sheet="1" objects="1" scenarios="1"/>
  <mergeCells count="1">
    <mergeCell ref="B2:L2"/>
  </mergeCells>
  <pageMargins left="0.31496062992125984" right="0.31496062992125984" top="0.59055118110236227" bottom="0.59055118110236227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P176"/>
  <sheetViews>
    <sheetView showGridLines="0" showZeros="0" view="pageBreakPreview" topLeftCell="A157" zoomScale="77" zoomScaleNormal="70" zoomScaleSheetLayoutView="77" workbookViewId="0">
      <selection activeCell="H161" sqref="H161:N161"/>
    </sheetView>
  </sheetViews>
  <sheetFormatPr defaultColWidth="9.140625" defaultRowHeight="15"/>
  <cols>
    <col min="1" max="1" width="1.5703125" style="31" customWidth="1"/>
    <col min="2" max="2" width="2.7109375" style="31" customWidth="1"/>
    <col min="3" max="3" width="9" style="31" customWidth="1"/>
    <col min="4" max="4" width="10.28515625" style="31" customWidth="1"/>
    <col min="5" max="5" width="7.85546875" style="31" customWidth="1"/>
    <col min="6" max="13" width="5.7109375" style="31" customWidth="1"/>
    <col min="14" max="15" width="6.28515625" style="31" customWidth="1"/>
    <col min="16" max="19" width="5.7109375" style="31" customWidth="1"/>
    <col min="20" max="20" width="6.28515625" style="31" customWidth="1"/>
    <col min="21" max="26" width="5.7109375" style="31" customWidth="1"/>
    <col min="27" max="31" width="6.28515625" style="31" customWidth="1"/>
    <col min="32" max="32" width="2.7109375" style="31" customWidth="1"/>
    <col min="33" max="33" width="1.42578125" style="31" customWidth="1"/>
    <col min="34" max="34" width="9.140625" style="31"/>
    <col min="35" max="35" width="9.140625" style="31" hidden="1" customWidth="1"/>
    <col min="36" max="36" width="15.28515625" style="31" hidden="1" customWidth="1"/>
    <col min="37" max="37" width="13.28515625" style="31" hidden="1" customWidth="1"/>
    <col min="38" max="38" width="58.7109375" style="31" hidden="1" customWidth="1"/>
    <col min="39" max="39" width="76.7109375" style="31" hidden="1" customWidth="1"/>
    <col min="40" max="40" width="113" style="31" hidden="1" customWidth="1"/>
    <col min="41" max="41" width="19" style="31" hidden="1" customWidth="1"/>
    <col min="42" max="42" width="9.140625" style="31" hidden="1" customWidth="1"/>
    <col min="43" max="43" width="25.28515625" style="31" customWidth="1"/>
    <col min="44" max="16384" width="9.140625" style="31"/>
  </cols>
  <sheetData>
    <row r="1" spans="2:33" ht="8.25" customHeight="1" thickBot="1">
      <c r="B1" s="184"/>
      <c r="C1" s="185"/>
      <c r="D1" s="185"/>
      <c r="E1" s="185"/>
      <c r="F1" s="186"/>
    </row>
    <row r="2" spans="2:33" ht="11.25" customHeight="1" thickBot="1">
      <c r="B2" s="32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8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9"/>
    </row>
    <row r="3" spans="2:33" ht="20.100000000000001" customHeight="1" thickBot="1">
      <c r="B3" s="72"/>
      <c r="C3" s="180" t="s">
        <v>269</v>
      </c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2"/>
      <c r="AF3" s="15"/>
      <c r="AG3" s="69"/>
    </row>
    <row r="4" spans="2:33" ht="9.9499999999999993" customHeight="1">
      <c r="B4" s="72"/>
      <c r="C4" s="2"/>
      <c r="D4" s="2"/>
      <c r="E4" s="18"/>
      <c r="F4" s="42"/>
      <c r="G4" s="2"/>
      <c r="H4" s="44"/>
      <c r="I4" s="2"/>
      <c r="J4" s="44"/>
      <c r="K4" s="2"/>
      <c r="L4" s="44"/>
      <c r="M4" s="2"/>
      <c r="N4" s="44"/>
      <c r="O4" s="2"/>
      <c r="P4" s="44"/>
      <c r="Q4" s="2"/>
      <c r="R4" s="44"/>
      <c r="S4" s="2"/>
      <c r="T4" s="44"/>
      <c r="U4" s="2"/>
      <c r="V4" s="44"/>
      <c r="W4" s="2"/>
      <c r="X4" s="44"/>
      <c r="Y4" s="2"/>
      <c r="Z4" s="44"/>
      <c r="AA4" s="2"/>
      <c r="AB4" s="44"/>
      <c r="AC4" s="2"/>
      <c r="AD4" s="44"/>
      <c r="AE4" s="2"/>
      <c r="AF4" s="15"/>
      <c r="AG4" s="69"/>
    </row>
    <row r="5" spans="2:33" ht="20.100000000000001" customHeight="1">
      <c r="B5" s="72"/>
      <c r="C5" s="183" t="s">
        <v>263</v>
      </c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5"/>
      <c r="AG5" s="69"/>
    </row>
    <row r="6" spans="2:33" ht="20.100000000000001" customHeight="1">
      <c r="B6" s="72"/>
      <c r="C6" s="140" t="s">
        <v>236</v>
      </c>
      <c r="D6" s="174" t="s">
        <v>151</v>
      </c>
      <c r="E6" s="175"/>
      <c r="F6" s="175"/>
      <c r="G6" s="176"/>
      <c r="H6" s="174" t="s">
        <v>139</v>
      </c>
      <c r="I6" s="175"/>
      <c r="J6" s="176"/>
      <c r="K6" s="177" t="s">
        <v>131</v>
      </c>
      <c r="L6" s="178"/>
      <c r="M6" s="178"/>
      <c r="N6" s="178"/>
      <c r="O6" s="179"/>
      <c r="P6" s="177" t="s">
        <v>130</v>
      </c>
      <c r="Q6" s="178"/>
      <c r="R6" s="178"/>
      <c r="S6" s="179"/>
      <c r="T6" s="177" t="s">
        <v>132</v>
      </c>
      <c r="U6" s="178"/>
      <c r="V6" s="178"/>
      <c r="W6" s="178"/>
      <c r="X6" s="178"/>
      <c r="Y6" s="178"/>
      <c r="Z6" s="179"/>
      <c r="AA6" s="177" t="s">
        <v>39</v>
      </c>
      <c r="AB6" s="178"/>
      <c r="AC6" s="178"/>
      <c r="AD6" s="178"/>
      <c r="AE6" s="179"/>
      <c r="AF6" s="15"/>
      <c r="AG6" s="69"/>
    </row>
    <row r="7" spans="2:33" ht="20.100000000000001" customHeight="1">
      <c r="B7" s="72"/>
      <c r="C7" s="142">
        <v>1</v>
      </c>
      <c r="D7" s="162"/>
      <c r="E7" s="163"/>
      <c r="F7" s="163"/>
      <c r="G7" s="164"/>
      <c r="H7" s="162"/>
      <c r="I7" s="163"/>
      <c r="J7" s="164"/>
      <c r="K7" s="165">
        <f>IFERROR((D7*H7)/1000,"")</f>
        <v>0</v>
      </c>
      <c r="L7" s="166"/>
      <c r="M7" s="166"/>
      <c r="N7" s="166"/>
      <c r="O7" s="167"/>
      <c r="P7" s="168"/>
      <c r="Q7" s="169"/>
      <c r="R7" s="169"/>
      <c r="S7" s="170"/>
      <c r="T7" s="171"/>
      <c r="U7" s="172"/>
      <c r="V7" s="172"/>
      <c r="W7" s="172"/>
      <c r="X7" s="172"/>
      <c r="Y7" s="172"/>
      <c r="Z7" s="173"/>
      <c r="AA7" s="171"/>
      <c r="AB7" s="172"/>
      <c r="AC7" s="172"/>
      <c r="AD7" s="172"/>
      <c r="AE7" s="173"/>
      <c r="AF7" s="15"/>
      <c r="AG7" s="69"/>
    </row>
    <row r="8" spans="2:33" ht="20.100000000000001" customHeight="1">
      <c r="B8" s="72"/>
      <c r="C8" s="142">
        <v>2</v>
      </c>
      <c r="D8" s="162"/>
      <c r="E8" s="163"/>
      <c r="F8" s="163"/>
      <c r="G8" s="164"/>
      <c r="H8" s="162"/>
      <c r="I8" s="163"/>
      <c r="J8" s="164"/>
      <c r="K8" s="165">
        <f t="shared" ref="K8:K56" si="0">IFERROR((D8*H8)/1000,"")</f>
        <v>0</v>
      </c>
      <c r="L8" s="166"/>
      <c r="M8" s="166"/>
      <c r="N8" s="166"/>
      <c r="O8" s="167"/>
      <c r="P8" s="168"/>
      <c r="Q8" s="169"/>
      <c r="R8" s="169"/>
      <c r="S8" s="170"/>
      <c r="T8" s="171"/>
      <c r="U8" s="172"/>
      <c r="V8" s="172"/>
      <c r="W8" s="172"/>
      <c r="X8" s="172"/>
      <c r="Y8" s="172"/>
      <c r="Z8" s="173"/>
      <c r="AA8" s="171"/>
      <c r="AB8" s="172"/>
      <c r="AC8" s="172"/>
      <c r="AD8" s="172"/>
      <c r="AE8" s="173"/>
      <c r="AF8" s="15"/>
      <c r="AG8" s="69"/>
    </row>
    <row r="9" spans="2:33" ht="20.100000000000001" customHeight="1">
      <c r="B9" s="72"/>
      <c r="C9" s="142">
        <v>3</v>
      </c>
      <c r="D9" s="162"/>
      <c r="E9" s="163"/>
      <c r="F9" s="163"/>
      <c r="G9" s="164"/>
      <c r="H9" s="162"/>
      <c r="I9" s="163"/>
      <c r="J9" s="164"/>
      <c r="K9" s="165">
        <f t="shared" si="0"/>
        <v>0</v>
      </c>
      <c r="L9" s="166"/>
      <c r="M9" s="166"/>
      <c r="N9" s="166"/>
      <c r="O9" s="167"/>
      <c r="P9" s="168"/>
      <c r="Q9" s="169"/>
      <c r="R9" s="169"/>
      <c r="S9" s="170"/>
      <c r="T9" s="171"/>
      <c r="U9" s="172"/>
      <c r="V9" s="172"/>
      <c r="W9" s="172"/>
      <c r="X9" s="172"/>
      <c r="Y9" s="172"/>
      <c r="Z9" s="173"/>
      <c r="AA9" s="171"/>
      <c r="AB9" s="172"/>
      <c r="AC9" s="172"/>
      <c r="AD9" s="172"/>
      <c r="AE9" s="173"/>
      <c r="AF9" s="15"/>
      <c r="AG9" s="69"/>
    </row>
    <row r="10" spans="2:33" ht="20.100000000000001" customHeight="1">
      <c r="B10" s="72"/>
      <c r="C10" s="142">
        <v>4</v>
      </c>
      <c r="D10" s="162"/>
      <c r="E10" s="163"/>
      <c r="F10" s="163"/>
      <c r="G10" s="164"/>
      <c r="H10" s="162"/>
      <c r="I10" s="163"/>
      <c r="J10" s="164"/>
      <c r="K10" s="165">
        <f t="shared" si="0"/>
        <v>0</v>
      </c>
      <c r="L10" s="166"/>
      <c r="M10" s="166"/>
      <c r="N10" s="166"/>
      <c r="O10" s="167"/>
      <c r="P10" s="168"/>
      <c r="Q10" s="169"/>
      <c r="R10" s="169"/>
      <c r="S10" s="170"/>
      <c r="T10" s="171"/>
      <c r="U10" s="172"/>
      <c r="V10" s="172"/>
      <c r="W10" s="172"/>
      <c r="X10" s="172"/>
      <c r="Y10" s="172"/>
      <c r="Z10" s="173"/>
      <c r="AA10" s="171"/>
      <c r="AB10" s="172"/>
      <c r="AC10" s="172"/>
      <c r="AD10" s="172"/>
      <c r="AE10" s="173"/>
      <c r="AF10" s="15"/>
      <c r="AG10" s="69"/>
    </row>
    <row r="11" spans="2:33" ht="20.100000000000001" customHeight="1">
      <c r="B11" s="72"/>
      <c r="C11" s="142">
        <v>5</v>
      </c>
      <c r="D11" s="162"/>
      <c r="E11" s="163"/>
      <c r="F11" s="163"/>
      <c r="G11" s="164"/>
      <c r="H11" s="162"/>
      <c r="I11" s="163"/>
      <c r="J11" s="164"/>
      <c r="K11" s="165">
        <f t="shared" si="0"/>
        <v>0</v>
      </c>
      <c r="L11" s="166"/>
      <c r="M11" s="166"/>
      <c r="N11" s="166"/>
      <c r="O11" s="167"/>
      <c r="P11" s="168"/>
      <c r="Q11" s="169"/>
      <c r="R11" s="169"/>
      <c r="S11" s="170"/>
      <c r="T11" s="171"/>
      <c r="U11" s="172"/>
      <c r="V11" s="172"/>
      <c r="W11" s="172"/>
      <c r="X11" s="172"/>
      <c r="Y11" s="172"/>
      <c r="Z11" s="173"/>
      <c r="AA11" s="171"/>
      <c r="AB11" s="172"/>
      <c r="AC11" s="172"/>
      <c r="AD11" s="172"/>
      <c r="AE11" s="173"/>
      <c r="AF11" s="15"/>
      <c r="AG11" s="69"/>
    </row>
    <row r="12" spans="2:33" ht="20.100000000000001" customHeight="1">
      <c r="B12" s="72"/>
      <c r="C12" s="142">
        <v>6</v>
      </c>
      <c r="D12" s="162"/>
      <c r="E12" s="163"/>
      <c r="F12" s="163"/>
      <c r="G12" s="164"/>
      <c r="H12" s="162"/>
      <c r="I12" s="163"/>
      <c r="J12" s="164"/>
      <c r="K12" s="165">
        <f t="shared" si="0"/>
        <v>0</v>
      </c>
      <c r="L12" s="166"/>
      <c r="M12" s="166"/>
      <c r="N12" s="166"/>
      <c r="O12" s="167"/>
      <c r="P12" s="168"/>
      <c r="Q12" s="169"/>
      <c r="R12" s="169"/>
      <c r="S12" s="170"/>
      <c r="T12" s="171"/>
      <c r="U12" s="172"/>
      <c r="V12" s="172"/>
      <c r="W12" s="172"/>
      <c r="X12" s="172"/>
      <c r="Y12" s="172"/>
      <c r="Z12" s="173"/>
      <c r="AA12" s="171"/>
      <c r="AB12" s="172"/>
      <c r="AC12" s="172"/>
      <c r="AD12" s="172"/>
      <c r="AE12" s="173"/>
      <c r="AF12" s="15"/>
      <c r="AG12" s="69"/>
    </row>
    <row r="13" spans="2:33" ht="20.100000000000001" customHeight="1">
      <c r="B13" s="72"/>
      <c r="C13" s="142">
        <v>7</v>
      </c>
      <c r="D13" s="162"/>
      <c r="E13" s="163"/>
      <c r="F13" s="163"/>
      <c r="G13" s="164"/>
      <c r="H13" s="162"/>
      <c r="I13" s="163"/>
      <c r="J13" s="164"/>
      <c r="K13" s="165">
        <f t="shared" si="0"/>
        <v>0</v>
      </c>
      <c r="L13" s="166"/>
      <c r="M13" s="166"/>
      <c r="N13" s="166"/>
      <c r="O13" s="167"/>
      <c r="P13" s="168"/>
      <c r="Q13" s="169"/>
      <c r="R13" s="169"/>
      <c r="S13" s="170"/>
      <c r="T13" s="171"/>
      <c r="U13" s="172"/>
      <c r="V13" s="172"/>
      <c r="W13" s="172"/>
      <c r="X13" s="172"/>
      <c r="Y13" s="172"/>
      <c r="Z13" s="173"/>
      <c r="AA13" s="171"/>
      <c r="AB13" s="172"/>
      <c r="AC13" s="172"/>
      <c r="AD13" s="172"/>
      <c r="AE13" s="173"/>
      <c r="AF13" s="15"/>
      <c r="AG13" s="69"/>
    </row>
    <row r="14" spans="2:33" ht="20.100000000000001" customHeight="1">
      <c r="B14" s="72"/>
      <c r="C14" s="142">
        <v>8</v>
      </c>
      <c r="D14" s="162"/>
      <c r="E14" s="163"/>
      <c r="F14" s="163"/>
      <c r="G14" s="164"/>
      <c r="H14" s="162"/>
      <c r="I14" s="163"/>
      <c r="J14" s="164"/>
      <c r="K14" s="165">
        <f t="shared" si="0"/>
        <v>0</v>
      </c>
      <c r="L14" s="166"/>
      <c r="M14" s="166"/>
      <c r="N14" s="166"/>
      <c r="O14" s="167"/>
      <c r="P14" s="168"/>
      <c r="Q14" s="169"/>
      <c r="R14" s="169"/>
      <c r="S14" s="170"/>
      <c r="T14" s="171"/>
      <c r="U14" s="172"/>
      <c r="V14" s="172"/>
      <c r="W14" s="172"/>
      <c r="X14" s="172"/>
      <c r="Y14" s="172"/>
      <c r="Z14" s="173"/>
      <c r="AA14" s="171"/>
      <c r="AB14" s="172"/>
      <c r="AC14" s="172"/>
      <c r="AD14" s="172"/>
      <c r="AE14" s="173"/>
      <c r="AF14" s="15"/>
      <c r="AG14" s="69"/>
    </row>
    <row r="15" spans="2:33" ht="20.100000000000001" customHeight="1">
      <c r="B15" s="72"/>
      <c r="C15" s="142">
        <v>9</v>
      </c>
      <c r="D15" s="162"/>
      <c r="E15" s="163"/>
      <c r="F15" s="163"/>
      <c r="G15" s="164"/>
      <c r="H15" s="162"/>
      <c r="I15" s="163"/>
      <c r="J15" s="164"/>
      <c r="K15" s="165">
        <f t="shared" si="0"/>
        <v>0</v>
      </c>
      <c r="L15" s="166"/>
      <c r="M15" s="166"/>
      <c r="N15" s="166"/>
      <c r="O15" s="167"/>
      <c r="P15" s="168"/>
      <c r="Q15" s="169"/>
      <c r="R15" s="169"/>
      <c r="S15" s="170"/>
      <c r="T15" s="171"/>
      <c r="U15" s="172"/>
      <c r="V15" s="172"/>
      <c r="W15" s="172"/>
      <c r="X15" s="172"/>
      <c r="Y15" s="172"/>
      <c r="Z15" s="173"/>
      <c r="AA15" s="171"/>
      <c r="AB15" s="172"/>
      <c r="AC15" s="172"/>
      <c r="AD15" s="172"/>
      <c r="AE15" s="173"/>
      <c r="AF15" s="15"/>
      <c r="AG15" s="69"/>
    </row>
    <row r="16" spans="2:33" ht="20.100000000000001" customHeight="1">
      <c r="B16" s="72"/>
      <c r="C16" s="142">
        <v>10</v>
      </c>
      <c r="D16" s="162"/>
      <c r="E16" s="163"/>
      <c r="F16" s="163"/>
      <c r="G16" s="164"/>
      <c r="H16" s="162"/>
      <c r="I16" s="163"/>
      <c r="J16" s="164"/>
      <c r="K16" s="165">
        <f t="shared" si="0"/>
        <v>0</v>
      </c>
      <c r="L16" s="166"/>
      <c r="M16" s="166"/>
      <c r="N16" s="166"/>
      <c r="O16" s="167"/>
      <c r="P16" s="168"/>
      <c r="Q16" s="169"/>
      <c r="R16" s="169"/>
      <c r="S16" s="170"/>
      <c r="T16" s="171"/>
      <c r="U16" s="172"/>
      <c r="V16" s="172"/>
      <c r="W16" s="172"/>
      <c r="X16" s="172"/>
      <c r="Y16" s="172"/>
      <c r="Z16" s="173"/>
      <c r="AA16" s="171"/>
      <c r="AB16" s="172"/>
      <c r="AC16" s="172"/>
      <c r="AD16" s="172"/>
      <c r="AE16" s="173"/>
      <c r="AF16" s="15"/>
      <c r="AG16" s="69"/>
    </row>
    <row r="17" spans="2:33" ht="20.100000000000001" customHeight="1">
      <c r="B17" s="72"/>
      <c r="C17" s="142">
        <v>11</v>
      </c>
      <c r="D17" s="162"/>
      <c r="E17" s="163"/>
      <c r="F17" s="163"/>
      <c r="G17" s="164"/>
      <c r="H17" s="162"/>
      <c r="I17" s="163"/>
      <c r="J17" s="164"/>
      <c r="K17" s="165">
        <f t="shared" si="0"/>
        <v>0</v>
      </c>
      <c r="L17" s="166"/>
      <c r="M17" s="166"/>
      <c r="N17" s="166"/>
      <c r="O17" s="167"/>
      <c r="P17" s="168"/>
      <c r="Q17" s="169"/>
      <c r="R17" s="169"/>
      <c r="S17" s="170"/>
      <c r="T17" s="171"/>
      <c r="U17" s="172"/>
      <c r="V17" s="172"/>
      <c r="W17" s="172"/>
      <c r="X17" s="172"/>
      <c r="Y17" s="172"/>
      <c r="Z17" s="173"/>
      <c r="AA17" s="171"/>
      <c r="AB17" s="172"/>
      <c r="AC17" s="172"/>
      <c r="AD17" s="172"/>
      <c r="AE17" s="173"/>
      <c r="AF17" s="15"/>
      <c r="AG17" s="69"/>
    </row>
    <row r="18" spans="2:33" ht="20.100000000000001" customHeight="1">
      <c r="B18" s="72"/>
      <c r="C18" s="142">
        <v>12</v>
      </c>
      <c r="D18" s="162"/>
      <c r="E18" s="163"/>
      <c r="F18" s="163"/>
      <c r="G18" s="164"/>
      <c r="H18" s="162"/>
      <c r="I18" s="163"/>
      <c r="J18" s="164"/>
      <c r="K18" s="165">
        <f t="shared" si="0"/>
        <v>0</v>
      </c>
      <c r="L18" s="166"/>
      <c r="M18" s="166"/>
      <c r="N18" s="166"/>
      <c r="O18" s="167"/>
      <c r="P18" s="168"/>
      <c r="Q18" s="169"/>
      <c r="R18" s="169"/>
      <c r="S18" s="170"/>
      <c r="T18" s="171"/>
      <c r="U18" s="172"/>
      <c r="V18" s="172"/>
      <c r="W18" s="172"/>
      <c r="X18" s="172"/>
      <c r="Y18" s="172"/>
      <c r="Z18" s="173"/>
      <c r="AA18" s="171"/>
      <c r="AB18" s="172"/>
      <c r="AC18" s="172"/>
      <c r="AD18" s="172"/>
      <c r="AE18" s="173"/>
      <c r="AF18" s="15"/>
      <c r="AG18" s="69"/>
    </row>
    <row r="19" spans="2:33" ht="20.100000000000001" customHeight="1">
      <c r="B19" s="72"/>
      <c r="C19" s="142">
        <v>13</v>
      </c>
      <c r="D19" s="162"/>
      <c r="E19" s="163"/>
      <c r="F19" s="163"/>
      <c r="G19" s="164"/>
      <c r="H19" s="162"/>
      <c r="I19" s="163"/>
      <c r="J19" s="164"/>
      <c r="K19" s="165">
        <f t="shared" si="0"/>
        <v>0</v>
      </c>
      <c r="L19" s="166"/>
      <c r="M19" s="166"/>
      <c r="N19" s="166"/>
      <c r="O19" s="167"/>
      <c r="P19" s="168"/>
      <c r="Q19" s="169"/>
      <c r="R19" s="169"/>
      <c r="S19" s="170"/>
      <c r="T19" s="171"/>
      <c r="U19" s="172"/>
      <c r="V19" s="172"/>
      <c r="W19" s="172"/>
      <c r="X19" s="172"/>
      <c r="Y19" s="172"/>
      <c r="Z19" s="173"/>
      <c r="AA19" s="171"/>
      <c r="AB19" s="172"/>
      <c r="AC19" s="172"/>
      <c r="AD19" s="172"/>
      <c r="AE19" s="173"/>
      <c r="AF19" s="15"/>
      <c r="AG19" s="69"/>
    </row>
    <row r="20" spans="2:33" ht="20.100000000000001" customHeight="1">
      <c r="B20" s="72"/>
      <c r="C20" s="142">
        <v>14</v>
      </c>
      <c r="D20" s="162"/>
      <c r="E20" s="163"/>
      <c r="F20" s="163"/>
      <c r="G20" s="164"/>
      <c r="H20" s="162"/>
      <c r="I20" s="163"/>
      <c r="J20" s="164"/>
      <c r="K20" s="165">
        <f t="shared" si="0"/>
        <v>0</v>
      </c>
      <c r="L20" s="166"/>
      <c r="M20" s="166"/>
      <c r="N20" s="166"/>
      <c r="O20" s="167"/>
      <c r="P20" s="168"/>
      <c r="Q20" s="169"/>
      <c r="R20" s="169"/>
      <c r="S20" s="170"/>
      <c r="T20" s="171"/>
      <c r="U20" s="172"/>
      <c r="V20" s="172"/>
      <c r="W20" s="172"/>
      <c r="X20" s="172"/>
      <c r="Y20" s="172"/>
      <c r="Z20" s="173"/>
      <c r="AA20" s="171"/>
      <c r="AB20" s="172"/>
      <c r="AC20" s="172"/>
      <c r="AD20" s="172"/>
      <c r="AE20" s="173"/>
      <c r="AF20" s="15"/>
      <c r="AG20" s="69"/>
    </row>
    <row r="21" spans="2:33" ht="20.100000000000001" customHeight="1">
      <c r="B21" s="72"/>
      <c r="C21" s="142">
        <v>15</v>
      </c>
      <c r="D21" s="162"/>
      <c r="E21" s="163"/>
      <c r="F21" s="163"/>
      <c r="G21" s="164"/>
      <c r="H21" s="162"/>
      <c r="I21" s="163"/>
      <c r="J21" s="164"/>
      <c r="K21" s="165">
        <f t="shared" si="0"/>
        <v>0</v>
      </c>
      <c r="L21" s="166"/>
      <c r="M21" s="166"/>
      <c r="N21" s="166"/>
      <c r="O21" s="167"/>
      <c r="P21" s="168"/>
      <c r="Q21" s="169"/>
      <c r="R21" s="169"/>
      <c r="S21" s="170"/>
      <c r="T21" s="171"/>
      <c r="U21" s="172"/>
      <c r="V21" s="172"/>
      <c r="W21" s="172"/>
      <c r="X21" s="172"/>
      <c r="Y21" s="172"/>
      <c r="Z21" s="173"/>
      <c r="AA21" s="171"/>
      <c r="AB21" s="172"/>
      <c r="AC21" s="172"/>
      <c r="AD21" s="172"/>
      <c r="AE21" s="173"/>
      <c r="AF21" s="15"/>
      <c r="AG21" s="69"/>
    </row>
    <row r="22" spans="2:33" ht="20.100000000000001" customHeight="1">
      <c r="B22" s="72"/>
      <c r="C22" s="142">
        <v>16</v>
      </c>
      <c r="D22" s="162"/>
      <c r="E22" s="163"/>
      <c r="F22" s="163"/>
      <c r="G22" s="164"/>
      <c r="H22" s="162"/>
      <c r="I22" s="163"/>
      <c r="J22" s="164"/>
      <c r="K22" s="165">
        <f t="shared" si="0"/>
        <v>0</v>
      </c>
      <c r="L22" s="166"/>
      <c r="M22" s="166"/>
      <c r="N22" s="166"/>
      <c r="O22" s="167"/>
      <c r="P22" s="168"/>
      <c r="Q22" s="169"/>
      <c r="R22" s="169"/>
      <c r="S22" s="170"/>
      <c r="T22" s="171"/>
      <c r="U22" s="172"/>
      <c r="V22" s="172"/>
      <c r="W22" s="172"/>
      <c r="X22" s="172"/>
      <c r="Y22" s="172"/>
      <c r="Z22" s="173"/>
      <c r="AA22" s="171"/>
      <c r="AB22" s="172"/>
      <c r="AC22" s="172"/>
      <c r="AD22" s="172"/>
      <c r="AE22" s="173"/>
      <c r="AF22" s="15"/>
      <c r="AG22" s="69"/>
    </row>
    <row r="23" spans="2:33" ht="20.100000000000001" customHeight="1">
      <c r="B23" s="72"/>
      <c r="C23" s="142">
        <v>17</v>
      </c>
      <c r="D23" s="162"/>
      <c r="E23" s="163"/>
      <c r="F23" s="163"/>
      <c r="G23" s="164"/>
      <c r="H23" s="162"/>
      <c r="I23" s="163"/>
      <c r="J23" s="164"/>
      <c r="K23" s="165">
        <f t="shared" si="0"/>
        <v>0</v>
      </c>
      <c r="L23" s="166"/>
      <c r="M23" s="166"/>
      <c r="N23" s="166"/>
      <c r="O23" s="167"/>
      <c r="P23" s="168"/>
      <c r="Q23" s="169"/>
      <c r="R23" s="169"/>
      <c r="S23" s="170"/>
      <c r="T23" s="171"/>
      <c r="U23" s="172"/>
      <c r="V23" s="172"/>
      <c r="W23" s="172"/>
      <c r="X23" s="172"/>
      <c r="Y23" s="172"/>
      <c r="Z23" s="173"/>
      <c r="AA23" s="171"/>
      <c r="AB23" s="172"/>
      <c r="AC23" s="172"/>
      <c r="AD23" s="172"/>
      <c r="AE23" s="173"/>
      <c r="AF23" s="15"/>
      <c r="AG23" s="69"/>
    </row>
    <row r="24" spans="2:33" ht="20.100000000000001" customHeight="1">
      <c r="B24" s="72"/>
      <c r="C24" s="142">
        <v>18</v>
      </c>
      <c r="D24" s="162"/>
      <c r="E24" s="163"/>
      <c r="F24" s="163"/>
      <c r="G24" s="164"/>
      <c r="H24" s="162"/>
      <c r="I24" s="163"/>
      <c r="J24" s="164"/>
      <c r="K24" s="165">
        <f t="shared" si="0"/>
        <v>0</v>
      </c>
      <c r="L24" s="166"/>
      <c r="M24" s="166"/>
      <c r="N24" s="166"/>
      <c r="O24" s="167"/>
      <c r="P24" s="168"/>
      <c r="Q24" s="169"/>
      <c r="R24" s="169"/>
      <c r="S24" s="170"/>
      <c r="T24" s="171"/>
      <c r="U24" s="172"/>
      <c r="V24" s="172"/>
      <c r="W24" s="172"/>
      <c r="X24" s="172"/>
      <c r="Y24" s="172"/>
      <c r="Z24" s="173"/>
      <c r="AA24" s="171"/>
      <c r="AB24" s="172"/>
      <c r="AC24" s="172"/>
      <c r="AD24" s="172"/>
      <c r="AE24" s="173"/>
      <c r="AF24" s="15"/>
      <c r="AG24" s="69"/>
    </row>
    <row r="25" spans="2:33" ht="20.100000000000001" customHeight="1">
      <c r="B25" s="72"/>
      <c r="C25" s="142">
        <v>19</v>
      </c>
      <c r="D25" s="162"/>
      <c r="E25" s="163"/>
      <c r="F25" s="163"/>
      <c r="G25" s="164"/>
      <c r="H25" s="162"/>
      <c r="I25" s="163"/>
      <c r="J25" s="164"/>
      <c r="K25" s="165">
        <f t="shared" si="0"/>
        <v>0</v>
      </c>
      <c r="L25" s="166"/>
      <c r="M25" s="166"/>
      <c r="N25" s="166"/>
      <c r="O25" s="167"/>
      <c r="P25" s="168"/>
      <c r="Q25" s="169"/>
      <c r="R25" s="169"/>
      <c r="S25" s="170"/>
      <c r="T25" s="171"/>
      <c r="U25" s="172"/>
      <c r="V25" s="172"/>
      <c r="W25" s="172"/>
      <c r="X25" s="172"/>
      <c r="Y25" s="172"/>
      <c r="Z25" s="173"/>
      <c r="AA25" s="171"/>
      <c r="AB25" s="172"/>
      <c r="AC25" s="172"/>
      <c r="AD25" s="172"/>
      <c r="AE25" s="173"/>
      <c r="AF25" s="15"/>
      <c r="AG25" s="69"/>
    </row>
    <row r="26" spans="2:33" ht="20.100000000000001" customHeight="1">
      <c r="B26" s="72"/>
      <c r="C26" s="142">
        <v>20</v>
      </c>
      <c r="D26" s="162"/>
      <c r="E26" s="163"/>
      <c r="F26" s="163"/>
      <c r="G26" s="164"/>
      <c r="H26" s="162"/>
      <c r="I26" s="163"/>
      <c r="J26" s="164"/>
      <c r="K26" s="165">
        <f t="shared" si="0"/>
        <v>0</v>
      </c>
      <c r="L26" s="166"/>
      <c r="M26" s="166"/>
      <c r="N26" s="166"/>
      <c r="O26" s="167"/>
      <c r="P26" s="168"/>
      <c r="Q26" s="169"/>
      <c r="R26" s="169"/>
      <c r="S26" s="170"/>
      <c r="T26" s="171"/>
      <c r="U26" s="172"/>
      <c r="V26" s="172"/>
      <c r="W26" s="172"/>
      <c r="X26" s="172"/>
      <c r="Y26" s="172"/>
      <c r="Z26" s="173"/>
      <c r="AA26" s="171"/>
      <c r="AB26" s="172"/>
      <c r="AC26" s="172"/>
      <c r="AD26" s="172"/>
      <c r="AE26" s="173"/>
      <c r="AF26" s="15"/>
      <c r="AG26" s="69"/>
    </row>
    <row r="27" spans="2:33" ht="20.100000000000001" customHeight="1">
      <c r="B27" s="72"/>
      <c r="C27" s="142">
        <v>21</v>
      </c>
      <c r="D27" s="162"/>
      <c r="E27" s="163"/>
      <c r="F27" s="163"/>
      <c r="G27" s="164"/>
      <c r="H27" s="162"/>
      <c r="I27" s="163"/>
      <c r="J27" s="164"/>
      <c r="K27" s="165">
        <f t="shared" si="0"/>
        <v>0</v>
      </c>
      <c r="L27" s="166"/>
      <c r="M27" s="166"/>
      <c r="N27" s="166"/>
      <c r="O27" s="167"/>
      <c r="P27" s="168"/>
      <c r="Q27" s="169"/>
      <c r="R27" s="169"/>
      <c r="S27" s="170"/>
      <c r="T27" s="171"/>
      <c r="U27" s="172"/>
      <c r="V27" s="172"/>
      <c r="W27" s="172"/>
      <c r="X27" s="172"/>
      <c r="Y27" s="172"/>
      <c r="Z27" s="173"/>
      <c r="AA27" s="171"/>
      <c r="AB27" s="172"/>
      <c r="AC27" s="172"/>
      <c r="AD27" s="172"/>
      <c r="AE27" s="173"/>
      <c r="AF27" s="15"/>
      <c r="AG27" s="69"/>
    </row>
    <row r="28" spans="2:33" ht="20.100000000000001" customHeight="1">
      <c r="B28" s="72"/>
      <c r="C28" s="142">
        <v>22</v>
      </c>
      <c r="D28" s="162"/>
      <c r="E28" s="163"/>
      <c r="F28" s="163"/>
      <c r="G28" s="164"/>
      <c r="H28" s="162"/>
      <c r="I28" s="163"/>
      <c r="J28" s="164"/>
      <c r="K28" s="165">
        <f t="shared" si="0"/>
        <v>0</v>
      </c>
      <c r="L28" s="166"/>
      <c r="M28" s="166"/>
      <c r="N28" s="166"/>
      <c r="O28" s="167"/>
      <c r="P28" s="168"/>
      <c r="Q28" s="169"/>
      <c r="R28" s="169"/>
      <c r="S28" s="170"/>
      <c r="T28" s="171"/>
      <c r="U28" s="172"/>
      <c r="V28" s="172"/>
      <c r="W28" s="172"/>
      <c r="X28" s="172"/>
      <c r="Y28" s="172"/>
      <c r="Z28" s="173"/>
      <c r="AA28" s="171"/>
      <c r="AB28" s="172"/>
      <c r="AC28" s="172"/>
      <c r="AD28" s="172"/>
      <c r="AE28" s="173"/>
      <c r="AF28" s="15"/>
      <c r="AG28" s="69"/>
    </row>
    <row r="29" spans="2:33" ht="20.100000000000001" customHeight="1">
      <c r="B29" s="72"/>
      <c r="C29" s="142">
        <v>23</v>
      </c>
      <c r="D29" s="162"/>
      <c r="E29" s="163"/>
      <c r="F29" s="163"/>
      <c r="G29" s="164"/>
      <c r="H29" s="162"/>
      <c r="I29" s="163"/>
      <c r="J29" s="164"/>
      <c r="K29" s="165">
        <f t="shared" si="0"/>
        <v>0</v>
      </c>
      <c r="L29" s="166"/>
      <c r="M29" s="166"/>
      <c r="N29" s="166"/>
      <c r="O29" s="167"/>
      <c r="P29" s="168"/>
      <c r="Q29" s="169"/>
      <c r="R29" s="169"/>
      <c r="S29" s="170"/>
      <c r="T29" s="171"/>
      <c r="U29" s="172"/>
      <c r="V29" s="172"/>
      <c r="W29" s="172"/>
      <c r="X29" s="172"/>
      <c r="Y29" s="172"/>
      <c r="Z29" s="173"/>
      <c r="AA29" s="171"/>
      <c r="AB29" s="172"/>
      <c r="AC29" s="172"/>
      <c r="AD29" s="172"/>
      <c r="AE29" s="173"/>
      <c r="AF29" s="15"/>
      <c r="AG29" s="69"/>
    </row>
    <row r="30" spans="2:33" ht="20.100000000000001" customHeight="1">
      <c r="B30" s="72"/>
      <c r="C30" s="142">
        <v>24</v>
      </c>
      <c r="D30" s="162"/>
      <c r="E30" s="163"/>
      <c r="F30" s="163"/>
      <c r="G30" s="164"/>
      <c r="H30" s="162"/>
      <c r="I30" s="163"/>
      <c r="J30" s="164"/>
      <c r="K30" s="165">
        <f t="shared" si="0"/>
        <v>0</v>
      </c>
      <c r="L30" s="166"/>
      <c r="M30" s="166"/>
      <c r="N30" s="166"/>
      <c r="O30" s="167"/>
      <c r="P30" s="168"/>
      <c r="Q30" s="169"/>
      <c r="R30" s="169"/>
      <c r="S30" s="170"/>
      <c r="T30" s="171"/>
      <c r="U30" s="172"/>
      <c r="V30" s="172"/>
      <c r="W30" s="172"/>
      <c r="X30" s="172"/>
      <c r="Y30" s="172"/>
      <c r="Z30" s="173"/>
      <c r="AA30" s="171"/>
      <c r="AB30" s="172"/>
      <c r="AC30" s="172"/>
      <c r="AD30" s="172"/>
      <c r="AE30" s="173"/>
      <c r="AF30" s="15"/>
      <c r="AG30" s="69"/>
    </row>
    <row r="31" spans="2:33" ht="20.100000000000001" customHeight="1">
      <c r="B31" s="72"/>
      <c r="C31" s="142">
        <v>25</v>
      </c>
      <c r="D31" s="162"/>
      <c r="E31" s="163"/>
      <c r="F31" s="163"/>
      <c r="G31" s="164"/>
      <c r="H31" s="162"/>
      <c r="I31" s="163"/>
      <c r="J31" s="164"/>
      <c r="K31" s="165">
        <f t="shared" si="0"/>
        <v>0</v>
      </c>
      <c r="L31" s="166"/>
      <c r="M31" s="166"/>
      <c r="N31" s="166"/>
      <c r="O31" s="167"/>
      <c r="P31" s="168"/>
      <c r="Q31" s="169"/>
      <c r="R31" s="169"/>
      <c r="S31" s="170"/>
      <c r="T31" s="171"/>
      <c r="U31" s="172"/>
      <c r="V31" s="172"/>
      <c r="W31" s="172"/>
      <c r="X31" s="172"/>
      <c r="Y31" s="172"/>
      <c r="Z31" s="173"/>
      <c r="AA31" s="171"/>
      <c r="AB31" s="172"/>
      <c r="AC31" s="172"/>
      <c r="AD31" s="172"/>
      <c r="AE31" s="173"/>
      <c r="AF31" s="15"/>
      <c r="AG31" s="69"/>
    </row>
    <row r="32" spans="2:33" ht="20.100000000000001" customHeight="1">
      <c r="B32" s="72"/>
      <c r="C32" s="142">
        <v>26</v>
      </c>
      <c r="D32" s="162"/>
      <c r="E32" s="163"/>
      <c r="F32" s="163"/>
      <c r="G32" s="164"/>
      <c r="H32" s="162"/>
      <c r="I32" s="163"/>
      <c r="J32" s="164"/>
      <c r="K32" s="165">
        <f t="shared" si="0"/>
        <v>0</v>
      </c>
      <c r="L32" s="166"/>
      <c r="M32" s="166"/>
      <c r="N32" s="166"/>
      <c r="O32" s="167"/>
      <c r="P32" s="168"/>
      <c r="Q32" s="169"/>
      <c r="R32" s="169"/>
      <c r="S32" s="170"/>
      <c r="T32" s="171"/>
      <c r="U32" s="172"/>
      <c r="V32" s="172"/>
      <c r="W32" s="172"/>
      <c r="X32" s="172"/>
      <c r="Y32" s="172"/>
      <c r="Z32" s="173"/>
      <c r="AA32" s="171"/>
      <c r="AB32" s="172"/>
      <c r="AC32" s="172"/>
      <c r="AD32" s="172"/>
      <c r="AE32" s="173"/>
      <c r="AF32" s="15"/>
      <c r="AG32" s="69"/>
    </row>
    <row r="33" spans="2:33" ht="20.100000000000001" customHeight="1">
      <c r="B33" s="72"/>
      <c r="C33" s="142">
        <v>27</v>
      </c>
      <c r="D33" s="162"/>
      <c r="E33" s="163"/>
      <c r="F33" s="163"/>
      <c r="G33" s="164"/>
      <c r="H33" s="162"/>
      <c r="I33" s="163"/>
      <c r="J33" s="164"/>
      <c r="K33" s="165">
        <f t="shared" si="0"/>
        <v>0</v>
      </c>
      <c r="L33" s="166"/>
      <c r="M33" s="166"/>
      <c r="N33" s="166"/>
      <c r="O33" s="167"/>
      <c r="P33" s="168"/>
      <c r="Q33" s="169"/>
      <c r="R33" s="169"/>
      <c r="S33" s="170"/>
      <c r="T33" s="171"/>
      <c r="U33" s="172"/>
      <c r="V33" s="172"/>
      <c r="W33" s="172"/>
      <c r="X33" s="172"/>
      <c r="Y33" s="172"/>
      <c r="Z33" s="173"/>
      <c r="AA33" s="171"/>
      <c r="AB33" s="172"/>
      <c r="AC33" s="172"/>
      <c r="AD33" s="172"/>
      <c r="AE33" s="173"/>
      <c r="AF33" s="15"/>
      <c r="AG33" s="69"/>
    </row>
    <row r="34" spans="2:33" ht="20.100000000000001" customHeight="1">
      <c r="B34" s="72"/>
      <c r="C34" s="142">
        <v>28</v>
      </c>
      <c r="D34" s="162"/>
      <c r="E34" s="163"/>
      <c r="F34" s="163"/>
      <c r="G34" s="164"/>
      <c r="H34" s="162"/>
      <c r="I34" s="163"/>
      <c r="J34" s="164"/>
      <c r="K34" s="165">
        <f t="shared" si="0"/>
        <v>0</v>
      </c>
      <c r="L34" s="166"/>
      <c r="M34" s="166"/>
      <c r="N34" s="166"/>
      <c r="O34" s="167"/>
      <c r="P34" s="168"/>
      <c r="Q34" s="169"/>
      <c r="R34" s="169"/>
      <c r="S34" s="170"/>
      <c r="T34" s="171"/>
      <c r="U34" s="172"/>
      <c r="V34" s="172"/>
      <c r="W34" s="172"/>
      <c r="X34" s="172"/>
      <c r="Y34" s="172"/>
      <c r="Z34" s="173"/>
      <c r="AA34" s="171"/>
      <c r="AB34" s="172"/>
      <c r="AC34" s="172"/>
      <c r="AD34" s="172"/>
      <c r="AE34" s="173"/>
      <c r="AF34" s="15"/>
      <c r="AG34" s="69"/>
    </row>
    <row r="35" spans="2:33" ht="20.100000000000001" customHeight="1">
      <c r="B35" s="72"/>
      <c r="C35" s="142">
        <v>29</v>
      </c>
      <c r="D35" s="162"/>
      <c r="E35" s="163"/>
      <c r="F35" s="163"/>
      <c r="G35" s="164"/>
      <c r="H35" s="162"/>
      <c r="I35" s="163"/>
      <c r="J35" s="164"/>
      <c r="K35" s="165">
        <f t="shared" si="0"/>
        <v>0</v>
      </c>
      <c r="L35" s="166"/>
      <c r="M35" s="166"/>
      <c r="N35" s="166"/>
      <c r="O35" s="167"/>
      <c r="P35" s="168"/>
      <c r="Q35" s="169"/>
      <c r="R35" s="169"/>
      <c r="S35" s="170"/>
      <c r="T35" s="171"/>
      <c r="U35" s="172"/>
      <c r="V35" s="172"/>
      <c r="W35" s="172"/>
      <c r="X35" s="172"/>
      <c r="Y35" s="172"/>
      <c r="Z35" s="173"/>
      <c r="AA35" s="171"/>
      <c r="AB35" s="172"/>
      <c r="AC35" s="172"/>
      <c r="AD35" s="172"/>
      <c r="AE35" s="173"/>
      <c r="AF35" s="15"/>
      <c r="AG35" s="69"/>
    </row>
    <row r="36" spans="2:33" ht="20.100000000000001" customHeight="1">
      <c r="B36" s="72"/>
      <c r="C36" s="142">
        <v>30</v>
      </c>
      <c r="D36" s="162"/>
      <c r="E36" s="163"/>
      <c r="F36" s="163"/>
      <c r="G36" s="164"/>
      <c r="H36" s="162"/>
      <c r="I36" s="163"/>
      <c r="J36" s="164"/>
      <c r="K36" s="165">
        <f t="shared" si="0"/>
        <v>0</v>
      </c>
      <c r="L36" s="166"/>
      <c r="M36" s="166"/>
      <c r="N36" s="166"/>
      <c r="O36" s="167"/>
      <c r="P36" s="168"/>
      <c r="Q36" s="169"/>
      <c r="R36" s="169"/>
      <c r="S36" s="170"/>
      <c r="T36" s="171"/>
      <c r="U36" s="172"/>
      <c r="V36" s="172"/>
      <c r="W36" s="172"/>
      <c r="X36" s="172"/>
      <c r="Y36" s="172"/>
      <c r="Z36" s="173"/>
      <c r="AA36" s="171"/>
      <c r="AB36" s="172"/>
      <c r="AC36" s="172"/>
      <c r="AD36" s="172"/>
      <c r="AE36" s="173"/>
      <c r="AF36" s="15"/>
      <c r="AG36" s="69"/>
    </row>
    <row r="37" spans="2:33" ht="20.100000000000001" customHeight="1">
      <c r="B37" s="72"/>
      <c r="C37" s="142">
        <v>31</v>
      </c>
      <c r="D37" s="162"/>
      <c r="E37" s="163"/>
      <c r="F37" s="163"/>
      <c r="G37" s="164"/>
      <c r="H37" s="162"/>
      <c r="I37" s="163"/>
      <c r="J37" s="164"/>
      <c r="K37" s="165">
        <f t="shared" si="0"/>
        <v>0</v>
      </c>
      <c r="L37" s="166"/>
      <c r="M37" s="166"/>
      <c r="N37" s="166"/>
      <c r="O37" s="167"/>
      <c r="P37" s="168"/>
      <c r="Q37" s="169"/>
      <c r="R37" s="169"/>
      <c r="S37" s="170"/>
      <c r="T37" s="171"/>
      <c r="U37" s="172"/>
      <c r="V37" s="172"/>
      <c r="W37" s="172"/>
      <c r="X37" s="172"/>
      <c r="Y37" s="172"/>
      <c r="Z37" s="173"/>
      <c r="AA37" s="171"/>
      <c r="AB37" s="172"/>
      <c r="AC37" s="172"/>
      <c r="AD37" s="172"/>
      <c r="AE37" s="173"/>
      <c r="AF37" s="15"/>
      <c r="AG37" s="69"/>
    </row>
    <row r="38" spans="2:33" ht="20.100000000000001" customHeight="1">
      <c r="B38" s="72"/>
      <c r="C38" s="142">
        <v>32</v>
      </c>
      <c r="D38" s="162"/>
      <c r="E38" s="163"/>
      <c r="F38" s="163"/>
      <c r="G38" s="164"/>
      <c r="H38" s="162"/>
      <c r="I38" s="163"/>
      <c r="J38" s="164"/>
      <c r="K38" s="165">
        <f t="shared" si="0"/>
        <v>0</v>
      </c>
      <c r="L38" s="166"/>
      <c r="M38" s="166"/>
      <c r="N38" s="166"/>
      <c r="O38" s="167"/>
      <c r="P38" s="168"/>
      <c r="Q38" s="169"/>
      <c r="R38" s="169"/>
      <c r="S38" s="170"/>
      <c r="T38" s="171"/>
      <c r="U38" s="172"/>
      <c r="V38" s="172"/>
      <c r="W38" s="172"/>
      <c r="X38" s="172"/>
      <c r="Y38" s="172"/>
      <c r="Z38" s="173"/>
      <c r="AA38" s="171"/>
      <c r="AB38" s="172"/>
      <c r="AC38" s="172"/>
      <c r="AD38" s="172"/>
      <c r="AE38" s="173"/>
      <c r="AF38" s="15"/>
      <c r="AG38" s="69"/>
    </row>
    <row r="39" spans="2:33" ht="20.100000000000001" customHeight="1">
      <c r="B39" s="72"/>
      <c r="C39" s="142">
        <v>33</v>
      </c>
      <c r="D39" s="162"/>
      <c r="E39" s="163"/>
      <c r="F39" s="163"/>
      <c r="G39" s="164"/>
      <c r="H39" s="162"/>
      <c r="I39" s="163"/>
      <c r="J39" s="164"/>
      <c r="K39" s="165">
        <f t="shared" si="0"/>
        <v>0</v>
      </c>
      <c r="L39" s="166"/>
      <c r="M39" s="166"/>
      <c r="N39" s="166"/>
      <c r="O39" s="167"/>
      <c r="P39" s="168"/>
      <c r="Q39" s="169"/>
      <c r="R39" s="169"/>
      <c r="S39" s="170"/>
      <c r="T39" s="171"/>
      <c r="U39" s="172"/>
      <c r="V39" s="172"/>
      <c r="W39" s="172"/>
      <c r="X39" s="172"/>
      <c r="Y39" s="172"/>
      <c r="Z39" s="173"/>
      <c r="AA39" s="171"/>
      <c r="AB39" s="172"/>
      <c r="AC39" s="172"/>
      <c r="AD39" s="172"/>
      <c r="AE39" s="173"/>
      <c r="AF39" s="15"/>
      <c r="AG39" s="69"/>
    </row>
    <row r="40" spans="2:33" ht="20.100000000000001" customHeight="1">
      <c r="B40" s="72"/>
      <c r="C40" s="142">
        <v>34</v>
      </c>
      <c r="D40" s="162"/>
      <c r="E40" s="163"/>
      <c r="F40" s="163"/>
      <c r="G40" s="164"/>
      <c r="H40" s="162"/>
      <c r="I40" s="163"/>
      <c r="J40" s="164"/>
      <c r="K40" s="165">
        <f t="shared" si="0"/>
        <v>0</v>
      </c>
      <c r="L40" s="166"/>
      <c r="M40" s="166"/>
      <c r="N40" s="166"/>
      <c r="O40" s="167"/>
      <c r="P40" s="168"/>
      <c r="Q40" s="169"/>
      <c r="R40" s="169"/>
      <c r="S40" s="170"/>
      <c r="T40" s="171"/>
      <c r="U40" s="172"/>
      <c r="V40" s="172"/>
      <c r="W40" s="172"/>
      <c r="X40" s="172"/>
      <c r="Y40" s="172"/>
      <c r="Z40" s="173"/>
      <c r="AA40" s="171"/>
      <c r="AB40" s="172"/>
      <c r="AC40" s="172"/>
      <c r="AD40" s="172"/>
      <c r="AE40" s="173"/>
      <c r="AF40" s="15"/>
      <c r="AG40" s="69"/>
    </row>
    <row r="41" spans="2:33" ht="20.100000000000001" customHeight="1">
      <c r="B41" s="72"/>
      <c r="C41" s="142">
        <v>35</v>
      </c>
      <c r="D41" s="162"/>
      <c r="E41" s="163"/>
      <c r="F41" s="163"/>
      <c r="G41" s="164"/>
      <c r="H41" s="162"/>
      <c r="I41" s="163"/>
      <c r="J41" s="164"/>
      <c r="K41" s="165">
        <f t="shared" si="0"/>
        <v>0</v>
      </c>
      <c r="L41" s="166"/>
      <c r="M41" s="166"/>
      <c r="N41" s="166"/>
      <c r="O41" s="167"/>
      <c r="P41" s="168"/>
      <c r="Q41" s="169"/>
      <c r="R41" s="169"/>
      <c r="S41" s="170"/>
      <c r="T41" s="171"/>
      <c r="U41" s="172"/>
      <c r="V41" s="172"/>
      <c r="W41" s="172"/>
      <c r="X41" s="172"/>
      <c r="Y41" s="172"/>
      <c r="Z41" s="173"/>
      <c r="AA41" s="171"/>
      <c r="AB41" s="172"/>
      <c r="AC41" s="172"/>
      <c r="AD41" s="172"/>
      <c r="AE41" s="173"/>
      <c r="AF41" s="15"/>
      <c r="AG41" s="69"/>
    </row>
    <row r="42" spans="2:33" ht="20.100000000000001" customHeight="1">
      <c r="B42" s="72"/>
      <c r="C42" s="142">
        <v>36</v>
      </c>
      <c r="D42" s="162"/>
      <c r="E42" s="163"/>
      <c r="F42" s="163"/>
      <c r="G42" s="164"/>
      <c r="H42" s="162"/>
      <c r="I42" s="163"/>
      <c r="J42" s="164"/>
      <c r="K42" s="165">
        <f t="shared" si="0"/>
        <v>0</v>
      </c>
      <c r="L42" s="166"/>
      <c r="M42" s="166"/>
      <c r="N42" s="166"/>
      <c r="O42" s="167"/>
      <c r="P42" s="168"/>
      <c r="Q42" s="169"/>
      <c r="R42" s="169"/>
      <c r="S42" s="170"/>
      <c r="T42" s="171"/>
      <c r="U42" s="172"/>
      <c r="V42" s="172"/>
      <c r="W42" s="172"/>
      <c r="X42" s="172"/>
      <c r="Y42" s="172"/>
      <c r="Z42" s="173"/>
      <c r="AA42" s="171"/>
      <c r="AB42" s="172"/>
      <c r="AC42" s="172"/>
      <c r="AD42" s="172"/>
      <c r="AE42" s="173"/>
      <c r="AF42" s="15"/>
      <c r="AG42" s="69"/>
    </row>
    <row r="43" spans="2:33" ht="20.100000000000001" customHeight="1">
      <c r="B43" s="72"/>
      <c r="C43" s="142">
        <v>37</v>
      </c>
      <c r="D43" s="162"/>
      <c r="E43" s="163"/>
      <c r="F43" s="163"/>
      <c r="G43" s="164"/>
      <c r="H43" s="162"/>
      <c r="I43" s="163"/>
      <c r="J43" s="164"/>
      <c r="K43" s="165">
        <f t="shared" si="0"/>
        <v>0</v>
      </c>
      <c r="L43" s="166"/>
      <c r="M43" s="166"/>
      <c r="N43" s="166"/>
      <c r="O43" s="167"/>
      <c r="P43" s="168"/>
      <c r="Q43" s="169"/>
      <c r="R43" s="169"/>
      <c r="S43" s="170"/>
      <c r="T43" s="171"/>
      <c r="U43" s="172"/>
      <c r="V43" s="172"/>
      <c r="W43" s="172"/>
      <c r="X43" s="172"/>
      <c r="Y43" s="172"/>
      <c r="Z43" s="173"/>
      <c r="AA43" s="171"/>
      <c r="AB43" s="172"/>
      <c r="AC43" s="172"/>
      <c r="AD43" s="172"/>
      <c r="AE43" s="173"/>
      <c r="AF43" s="15"/>
      <c r="AG43" s="69"/>
    </row>
    <row r="44" spans="2:33" ht="20.100000000000001" customHeight="1">
      <c r="B44" s="72"/>
      <c r="C44" s="142">
        <v>38</v>
      </c>
      <c r="D44" s="162"/>
      <c r="E44" s="163"/>
      <c r="F44" s="163"/>
      <c r="G44" s="164"/>
      <c r="H44" s="162"/>
      <c r="I44" s="163"/>
      <c r="J44" s="164"/>
      <c r="K44" s="165">
        <f t="shared" si="0"/>
        <v>0</v>
      </c>
      <c r="L44" s="166"/>
      <c r="M44" s="166"/>
      <c r="N44" s="166"/>
      <c r="O44" s="167"/>
      <c r="P44" s="168"/>
      <c r="Q44" s="169"/>
      <c r="R44" s="169"/>
      <c r="S44" s="170"/>
      <c r="T44" s="171"/>
      <c r="U44" s="172"/>
      <c r="V44" s="172"/>
      <c r="W44" s="172"/>
      <c r="X44" s="172"/>
      <c r="Y44" s="172"/>
      <c r="Z44" s="173"/>
      <c r="AA44" s="171"/>
      <c r="AB44" s="172"/>
      <c r="AC44" s="172"/>
      <c r="AD44" s="172"/>
      <c r="AE44" s="173"/>
      <c r="AF44" s="15"/>
      <c r="AG44" s="69"/>
    </row>
    <row r="45" spans="2:33" ht="20.100000000000001" customHeight="1">
      <c r="B45" s="72"/>
      <c r="C45" s="142">
        <v>39</v>
      </c>
      <c r="D45" s="162"/>
      <c r="E45" s="163"/>
      <c r="F45" s="163"/>
      <c r="G45" s="164"/>
      <c r="H45" s="162"/>
      <c r="I45" s="163"/>
      <c r="J45" s="164"/>
      <c r="K45" s="165">
        <f t="shared" si="0"/>
        <v>0</v>
      </c>
      <c r="L45" s="166"/>
      <c r="M45" s="166"/>
      <c r="N45" s="166"/>
      <c r="O45" s="167"/>
      <c r="P45" s="168"/>
      <c r="Q45" s="169"/>
      <c r="R45" s="169"/>
      <c r="S45" s="170"/>
      <c r="T45" s="171"/>
      <c r="U45" s="172"/>
      <c r="V45" s="172"/>
      <c r="W45" s="172"/>
      <c r="X45" s="172"/>
      <c r="Y45" s="172"/>
      <c r="Z45" s="173"/>
      <c r="AA45" s="171"/>
      <c r="AB45" s="172"/>
      <c r="AC45" s="172"/>
      <c r="AD45" s="172"/>
      <c r="AE45" s="173"/>
      <c r="AF45" s="15"/>
      <c r="AG45" s="69"/>
    </row>
    <row r="46" spans="2:33" ht="20.100000000000001" customHeight="1">
      <c r="B46" s="72"/>
      <c r="C46" s="142">
        <v>40</v>
      </c>
      <c r="D46" s="162"/>
      <c r="E46" s="163"/>
      <c r="F46" s="163"/>
      <c r="G46" s="164"/>
      <c r="H46" s="162"/>
      <c r="I46" s="163"/>
      <c r="J46" s="164"/>
      <c r="K46" s="165">
        <f t="shared" si="0"/>
        <v>0</v>
      </c>
      <c r="L46" s="166"/>
      <c r="M46" s="166"/>
      <c r="N46" s="166"/>
      <c r="O46" s="167"/>
      <c r="P46" s="168"/>
      <c r="Q46" s="169"/>
      <c r="R46" s="169"/>
      <c r="S46" s="170"/>
      <c r="T46" s="171"/>
      <c r="U46" s="172"/>
      <c r="V46" s="172"/>
      <c r="W46" s="172"/>
      <c r="X46" s="172"/>
      <c r="Y46" s="172"/>
      <c r="Z46" s="173"/>
      <c r="AA46" s="171"/>
      <c r="AB46" s="172"/>
      <c r="AC46" s="172"/>
      <c r="AD46" s="172"/>
      <c r="AE46" s="173"/>
      <c r="AF46" s="15"/>
      <c r="AG46" s="69"/>
    </row>
    <row r="47" spans="2:33" ht="20.100000000000001" customHeight="1">
      <c r="B47" s="72"/>
      <c r="C47" s="142">
        <v>41</v>
      </c>
      <c r="D47" s="162"/>
      <c r="E47" s="163"/>
      <c r="F47" s="163"/>
      <c r="G47" s="164"/>
      <c r="H47" s="162"/>
      <c r="I47" s="163"/>
      <c r="J47" s="164"/>
      <c r="K47" s="165">
        <f t="shared" si="0"/>
        <v>0</v>
      </c>
      <c r="L47" s="166"/>
      <c r="M47" s="166"/>
      <c r="N47" s="166"/>
      <c r="O47" s="167"/>
      <c r="P47" s="168"/>
      <c r="Q47" s="169"/>
      <c r="R47" s="169"/>
      <c r="S47" s="170"/>
      <c r="T47" s="171"/>
      <c r="U47" s="172"/>
      <c r="V47" s="172"/>
      <c r="W47" s="172"/>
      <c r="X47" s="172"/>
      <c r="Y47" s="172"/>
      <c r="Z47" s="173"/>
      <c r="AA47" s="171"/>
      <c r="AB47" s="172"/>
      <c r="AC47" s="172"/>
      <c r="AD47" s="172"/>
      <c r="AE47" s="173"/>
      <c r="AF47" s="15"/>
      <c r="AG47" s="69"/>
    </row>
    <row r="48" spans="2:33" ht="20.100000000000001" customHeight="1">
      <c r="B48" s="72"/>
      <c r="C48" s="142">
        <v>42</v>
      </c>
      <c r="D48" s="162"/>
      <c r="E48" s="163"/>
      <c r="F48" s="163"/>
      <c r="G48" s="164"/>
      <c r="H48" s="162"/>
      <c r="I48" s="163"/>
      <c r="J48" s="164"/>
      <c r="K48" s="165">
        <f t="shared" si="0"/>
        <v>0</v>
      </c>
      <c r="L48" s="166"/>
      <c r="M48" s="166"/>
      <c r="N48" s="166"/>
      <c r="O48" s="167"/>
      <c r="P48" s="168"/>
      <c r="Q48" s="169"/>
      <c r="R48" s="169"/>
      <c r="S48" s="170"/>
      <c r="T48" s="171"/>
      <c r="U48" s="172"/>
      <c r="V48" s="172"/>
      <c r="W48" s="172"/>
      <c r="X48" s="172"/>
      <c r="Y48" s="172"/>
      <c r="Z48" s="173"/>
      <c r="AA48" s="171"/>
      <c r="AB48" s="172"/>
      <c r="AC48" s="172"/>
      <c r="AD48" s="172"/>
      <c r="AE48" s="173"/>
      <c r="AF48" s="15"/>
      <c r="AG48" s="69"/>
    </row>
    <row r="49" spans="2:33" ht="20.100000000000001" customHeight="1">
      <c r="B49" s="72"/>
      <c r="C49" s="142">
        <v>43</v>
      </c>
      <c r="D49" s="162"/>
      <c r="E49" s="163"/>
      <c r="F49" s="163"/>
      <c r="G49" s="164"/>
      <c r="H49" s="162"/>
      <c r="I49" s="163"/>
      <c r="J49" s="164"/>
      <c r="K49" s="165">
        <f t="shared" si="0"/>
        <v>0</v>
      </c>
      <c r="L49" s="166"/>
      <c r="M49" s="166"/>
      <c r="N49" s="166"/>
      <c r="O49" s="167"/>
      <c r="P49" s="168"/>
      <c r="Q49" s="169"/>
      <c r="R49" s="169"/>
      <c r="S49" s="170"/>
      <c r="T49" s="171"/>
      <c r="U49" s="172"/>
      <c r="V49" s="172"/>
      <c r="W49" s="172"/>
      <c r="X49" s="172"/>
      <c r="Y49" s="172"/>
      <c r="Z49" s="173"/>
      <c r="AA49" s="171"/>
      <c r="AB49" s="172"/>
      <c r="AC49" s="172"/>
      <c r="AD49" s="172"/>
      <c r="AE49" s="173"/>
      <c r="AF49" s="15"/>
      <c r="AG49" s="69"/>
    </row>
    <row r="50" spans="2:33" ht="20.100000000000001" customHeight="1">
      <c r="B50" s="72"/>
      <c r="C50" s="142">
        <v>44</v>
      </c>
      <c r="D50" s="162"/>
      <c r="E50" s="163"/>
      <c r="F50" s="163"/>
      <c r="G50" s="164"/>
      <c r="H50" s="162"/>
      <c r="I50" s="163"/>
      <c r="J50" s="164"/>
      <c r="K50" s="165">
        <f t="shared" si="0"/>
        <v>0</v>
      </c>
      <c r="L50" s="166"/>
      <c r="M50" s="166"/>
      <c r="N50" s="166"/>
      <c r="O50" s="167"/>
      <c r="P50" s="168"/>
      <c r="Q50" s="169"/>
      <c r="R50" s="169"/>
      <c r="S50" s="170"/>
      <c r="T50" s="171"/>
      <c r="U50" s="172"/>
      <c r="V50" s="172"/>
      <c r="W50" s="172"/>
      <c r="X50" s="172"/>
      <c r="Y50" s="172"/>
      <c r="Z50" s="173"/>
      <c r="AA50" s="171"/>
      <c r="AB50" s="172"/>
      <c r="AC50" s="172"/>
      <c r="AD50" s="172"/>
      <c r="AE50" s="173"/>
      <c r="AF50" s="15"/>
      <c r="AG50" s="69"/>
    </row>
    <row r="51" spans="2:33" ht="20.100000000000001" customHeight="1">
      <c r="B51" s="72"/>
      <c r="C51" s="142">
        <v>45</v>
      </c>
      <c r="D51" s="162"/>
      <c r="E51" s="163"/>
      <c r="F51" s="163"/>
      <c r="G51" s="164"/>
      <c r="H51" s="162"/>
      <c r="I51" s="163"/>
      <c r="J51" s="164"/>
      <c r="K51" s="165">
        <f t="shared" si="0"/>
        <v>0</v>
      </c>
      <c r="L51" s="166"/>
      <c r="M51" s="166"/>
      <c r="N51" s="166"/>
      <c r="O51" s="167"/>
      <c r="P51" s="168"/>
      <c r="Q51" s="169"/>
      <c r="R51" s="169"/>
      <c r="S51" s="170"/>
      <c r="T51" s="171"/>
      <c r="U51" s="172"/>
      <c r="V51" s="172"/>
      <c r="W51" s="172"/>
      <c r="X51" s="172"/>
      <c r="Y51" s="172"/>
      <c r="Z51" s="173"/>
      <c r="AA51" s="171"/>
      <c r="AB51" s="172"/>
      <c r="AC51" s="172"/>
      <c r="AD51" s="172"/>
      <c r="AE51" s="173"/>
      <c r="AF51" s="15"/>
      <c r="AG51" s="69"/>
    </row>
    <row r="52" spans="2:33" ht="20.100000000000001" customHeight="1">
      <c r="B52" s="72"/>
      <c r="C52" s="142">
        <v>46</v>
      </c>
      <c r="D52" s="162"/>
      <c r="E52" s="163"/>
      <c r="F52" s="163"/>
      <c r="G52" s="164"/>
      <c r="H52" s="162"/>
      <c r="I52" s="163"/>
      <c r="J52" s="164"/>
      <c r="K52" s="165">
        <f t="shared" si="0"/>
        <v>0</v>
      </c>
      <c r="L52" s="166"/>
      <c r="M52" s="166"/>
      <c r="N52" s="166"/>
      <c r="O52" s="167"/>
      <c r="P52" s="168"/>
      <c r="Q52" s="169"/>
      <c r="R52" s="169"/>
      <c r="S52" s="170"/>
      <c r="T52" s="171"/>
      <c r="U52" s="172"/>
      <c r="V52" s="172"/>
      <c r="W52" s="172"/>
      <c r="X52" s="172"/>
      <c r="Y52" s="172"/>
      <c r="Z52" s="173"/>
      <c r="AA52" s="171"/>
      <c r="AB52" s="172"/>
      <c r="AC52" s="172"/>
      <c r="AD52" s="172"/>
      <c r="AE52" s="173"/>
      <c r="AF52" s="15"/>
      <c r="AG52" s="69"/>
    </row>
    <row r="53" spans="2:33" ht="20.100000000000001" customHeight="1">
      <c r="B53" s="72"/>
      <c r="C53" s="142">
        <v>47</v>
      </c>
      <c r="D53" s="162"/>
      <c r="E53" s="163"/>
      <c r="F53" s="163"/>
      <c r="G53" s="164"/>
      <c r="H53" s="162"/>
      <c r="I53" s="163"/>
      <c r="J53" s="164"/>
      <c r="K53" s="165">
        <f t="shared" si="0"/>
        <v>0</v>
      </c>
      <c r="L53" s="166"/>
      <c r="M53" s="166"/>
      <c r="N53" s="166"/>
      <c r="O53" s="167"/>
      <c r="P53" s="168"/>
      <c r="Q53" s="169"/>
      <c r="R53" s="169"/>
      <c r="S53" s="170"/>
      <c r="T53" s="171"/>
      <c r="U53" s="172"/>
      <c r="V53" s="172"/>
      <c r="W53" s="172"/>
      <c r="X53" s="172"/>
      <c r="Y53" s="172"/>
      <c r="Z53" s="173"/>
      <c r="AA53" s="171"/>
      <c r="AB53" s="172"/>
      <c r="AC53" s="172"/>
      <c r="AD53" s="172"/>
      <c r="AE53" s="173"/>
      <c r="AF53" s="15"/>
      <c r="AG53" s="69"/>
    </row>
    <row r="54" spans="2:33" ht="20.100000000000001" customHeight="1">
      <c r="B54" s="72"/>
      <c r="C54" s="142">
        <v>48</v>
      </c>
      <c r="D54" s="162"/>
      <c r="E54" s="163"/>
      <c r="F54" s="163"/>
      <c r="G54" s="164"/>
      <c r="H54" s="162"/>
      <c r="I54" s="163"/>
      <c r="J54" s="164"/>
      <c r="K54" s="165">
        <f t="shared" si="0"/>
        <v>0</v>
      </c>
      <c r="L54" s="166"/>
      <c r="M54" s="166"/>
      <c r="N54" s="166"/>
      <c r="O54" s="167"/>
      <c r="P54" s="168"/>
      <c r="Q54" s="169"/>
      <c r="R54" s="169"/>
      <c r="S54" s="170"/>
      <c r="T54" s="171"/>
      <c r="U54" s="172"/>
      <c r="V54" s="172"/>
      <c r="W54" s="172"/>
      <c r="X54" s="172"/>
      <c r="Y54" s="172"/>
      <c r="Z54" s="173"/>
      <c r="AA54" s="171"/>
      <c r="AB54" s="172"/>
      <c r="AC54" s="172"/>
      <c r="AD54" s="172"/>
      <c r="AE54" s="173"/>
      <c r="AF54" s="15"/>
      <c r="AG54" s="69"/>
    </row>
    <row r="55" spans="2:33" ht="20.100000000000001" customHeight="1">
      <c r="B55" s="72"/>
      <c r="C55" s="142">
        <v>49</v>
      </c>
      <c r="D55" s="162"/>
      <c r="E55" s="163"/>
      <c r="F55" s="163"/>
      <c r="G55" s="164"/>
      <c r="H55" s="162"/>
      <c r="I55" s="163"/>
      <c r="J55" s="164"/>
      <c r="K55" s="165">
        <f t="shared" si="0"/>
        <v>0</v>
      </c>
      <c r="L55" s="166"/>
      <c r="M55" s="166"/>
      <c r="N55" s="166"/>
      <c r="O55" s="167"/>
      <c r="P55" s="168"/>
      <c r="Q55" s="169"/>
      <c r="R55" s="169"/>
      <c r="S55" s="170"/>
      <c r="T55" s="171"/>
      <c r="U55" s="172"/>
      <c r="V55" s="172"/>
      <c r="W55" s="172"/>
      <c r="X55" s="172"/>
      <c r="Y55" s="172"/>
      <c r="Z55" s="173"/>
      <c r="AA55" s="171"/>
      <c r="AB55" s="172"/>
      <c r="AC55" s="172"/>
      <c r="AD55" s="172"/>
      <c r="AE55" s="173"/>
      <c r="AF55" s="15"/>
      <c r="AG55" s="69"/>
    </row>
    <row r="56" spans="2:33" ht="20.100000000000001" customHeight="1">
      <c r="B56" s="72"/>
      <c r="C56" s="142">
        <v>50</v>
      </c>
      <c r="D56" s="162"/>
      <c r="E56" s="163"/>
      <c r="F56" s="163"/>
      <c r="G56" s="164"/>
      <c r="H56" s="162"/>
      <c r="I56" s="163"/>
      <c r="J56" s="164"/>
      <c r="K56" s="165">
        <f t="shared" si="0"/>
        <v>0</v>
      </c>
      <c r="L56" s="166"/>
      <c r="M56" s="166"/>
      <c r="N56" s="166"/>
      <c r="O56" s="167"/>
      <c r="P56" s="168"/>
      <c r="Q56" s="169"/>
      <c r="R56" s="169"/>
      <c r="S56" s="170"/>
      <c r="T56" s="171"/>
      <c r="U56" s="172"/>
      <c r="V56" s="172"/>
      <c r="W56" s="172"/>
      <c r="X56" s="172"/>
      <c r="Y56" s="172"/>
      <c r="Z56" s="173"/>
      <c r="AA56" s="171"/>
      <c r="AB56" s="172"/>
      <c r="AC56" s="172"/>
      <c r="AD56" s="172"/>
      <c r="AE56" s="173"/>
      <c r="AF56" s="15"/>
      <c r="AG56" s="69"/>
    </row>
    <row r="57" spans="2:33" ht="20.100000000000001" customHeight="1">
      <c r="B57" s="72"/>
      <c r="C57" s="139" t="s">
        <v>148</v>
      </c>
      <c r="D57" s="194"/>
      <c r="E57" s="195"/>
      <c r="F57" s="195"/>
      <c r="G57" s="196"/>
      <c r="H57" s="197">
        <f>IFERROR(SUM(H7:J56),"")</f>
        <v>0</v>
      </c>
      <c r="I57" s="198"/>
      <c r="J57" s="199"/>
      <c r="K57" s="200">
        <f>IFERROR(SUM(K7:O56),"")</f>
        <v>0</v>
      </c>
      <c r="L57" s="201"/>
      <c r="M57" s="201"/>
      <c r="N57" s="201"/>
      <c r="O57" s="202"/>
      <c r="P57" s="200">
        <f>IFERROR(SUM(P7:S56),"")</f>
        <v>0</v>
      </c>
      <c r="Q57" s="201"/>
      <c r="R57" s="201"/>
      <c r="S57" s="202"/>
      <c r="T57" s="194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6"/>
      <c r="AF57" s="15"/>
      <c r="AG57" s="69"/>
    </row>
    <row r="58" spans="2:33" ht="9.9499999999999993" customHeight="1">
      <c r="B58" s="72"/>
      <c r="C58" s="203" t="s">
        <v>152</v>
      </c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15"/>
      <c r="AG58" s="69"/>
    </row>
    <row r="59" spans="2:33" ht="9.9499999999999993" customHeight="1">
      <c r="B59" s="72"/>
      <c r="C59" s="204"/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  <c r="AA59" s="204"/>
      <c r="AB59" s="204"/>
      <c r="AC59" s="204"/>
      <c r="AD59" s="204"/>
      <c r="AE59" s="204"/>
      <c r="AF59" s="15"/>
      <c r="AG59" s="69"/>
    </row>
    <row r="60" spans="2:33" ht="20.100000000000001" customHeight="1">
      <c r="B60" s="72"/>
      <c r="C60" s="187" t="s">
        <v>35</v>
      </c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5"/>
      <c r="AG60" s="69"/>
    </row>
    <row r="61" spans="2:33" ht="30" customHeight="1">
      <c r="B61" s="72"/>
      <c r="C61" s="141" t="s">
        <v>236</v>
      </c>
      <c r="D61" s="188" t="s">
        <v>57</v>
      </c>
      <c r="E61" s="189"/>
      <c r="F61" s="189"/>
      <c r="G61" s="190"/>
      <c r="H61" s="188" t="s">
        <v>39</v>
      </c>
      <c r="I61" s="189"/>
      <c r="J61" s="189"/>
      <c r="K61" s="190"/>
      <c r="L61" s="191" t="s">
        <v>239</v>
      </c>
      <c r="M61" s="192"/>
      <c r="N61" s="192"/>
      <c r="O61" s="193"/>
      <c r="P61" s="191" t="s">
        <v>36</v>
      </c>
      <c r="Q61" s="192"/>
      <c r="R61" s="192"/>
      <c r="S61" s="193"/>
      <c r="T61" s="192" t="s">
        <v>265</v>
      </c>
      <c r="U61" s="192"/>
      <c r="V61" s="193"/>
      <c r="W61" s="191" t="s">
        <v>37</v>
      </c>
      <c r="X61" s="192"/>
      <c r="Y61" s="193"/>
      <c r="Z61" s="191" t="s">
        <v>38</v>
      </c>
      <c r="AA61" s="192"/>
      <c r="AB61" s="193"/>
      <c r="AC61" s="191" t="s">
        <v>237</v>
      </c>
      <c r="AD61" s="192"/>
      <c r="AE61" s="193"/>
      <c r="AF61" s="15"/>
      <c r="AG61" s="69"/>
    </row>
    <row r="62" spans="2:33" ht="20.100000000000001" customHeight="1">
      <c r="B62" s="72"/>
      <c r="C62" s="142">
        <v>1</v>
      </c>
      <c r="D62" s="205"/>
      <c r="E62" s="205"/>
      <c r="F62" s="205"/>
      <c r="G62" s="205"/>
      <c r="H62" s="205"/>
      <c r="I62" s="205"/>
      <c r="J62" s="205"/>
      <c r="K62" s="205"/>
      <c r="L62" s="206"/>
      <c r="M62" s="206"/>
      <c r="N62" s="206"/>
      <c r="O62" s="206"/>
      <c r="P62" s="205"/>
      <c r="Q62" s="205"/>
      <c r="R62" s="205"/>
      <c r="S62" s="205"/>
      <c r="T62" s="171"/>
      <c r="U62" s="172"/>
      <c r="V62" s="173"/>
      <c r="W62" s="171"/>
      <c r="X62" s="172"/>
      <c r="Y62" s="173"/>
      <c r="Z62" s="171"/>
      <c r="AA62" s="172"/>
      <c r="AB62" s="173"/>
      <c r="AC62" s="171"/>
      <c r="AD62" s="172"/>
      <c r="AE62" s="173"/>
      <c r="AF62" s="15"/>
      <c r="AG62" s="69"/>
    </row>
    <row r="63" spans="2:33" ht="20.100000000000001" customHeight="1">
      <c r="B63" s="72"/>
      <c r="C63" s="142">
        <v>2</v>
      </c>
      <c r="D63" s="205"/>
      <c r="E63" s="205"/>
      <c r="F63" s="205"/>
      <c r="G63" s="205"/>
      <c r="H63" s="205"/>
      <c r="I63" s="205"/>
      <c r="J63" s="205"/>
      <c r="K63" s="205"/>
      <c r="L63" s="206"/>
      <c r="M63" s="206"/>
      <c r="N63" s="206"/>
      <c r="O63" s="206"/>
      <c r="P63" s="205"/>
      <c r="Q63" s="205"/>
      <c r="R63" s="205"/>
      <c r="S63" s="205"/>
      <c r="T63" s="171"/>
      <c r="U63" s="172"/>
      <c r="V63" s="173"/>
      <c r="W63" s="171"/>
      <c r="X63" s="172"/>
      <c r="Y63" s="173"/>
      <c r="Z63" s="171"/>
      <c r="AA63" s="172"/>
      <c r="AB63" s="173"/>
      <c r="AC63" s="171"/>
      <c r="AD63" s="172"/>
      <c r="AE63" s="173"/>
      <c r="AF63" s="15"/>
      <c r="AG63" s="69"/>
    </row>
    <row r="64" spans="2:33" ht="20.100000000000001" customHeight="1">
      <c r="B64" s="72"/>
      <c r="C64" s="142">
        <v>3</v>
      </c>
      <c r="D64" s="205"/>
      <c r="E64" s="205"/>
      <c r="F64" s="205"/>
      <c r="G64" s="205"/>
      <c r="H64" s="205"/>
      <c r="I64" s="205"/>
      <c r="J64" s="205"/>
      <c r="K64" s="205"/>
      <c r="L64" s="206"/>
      <c r="M64" s="206"/>
      <c r="N64" s="206"/>
      <c r="O64" s="206"/>
      <c r="P64" s="205"/>
      <c r="Q64" s="205"/>
      <c r="R64" s="205"/>
      <c r="S64" s="205"/>
      <c r="T64" s="171"/>
      <c r="U64" s="172"/>
      <c r="V64" s="173"/>
      <c r="W64" s="171"/>
      <c r="X64" s="172"/>
      <c r="Y64" s="173"/>
      <c r="Z64" s="171"/>
      <c r="AA64" s="172"/>
      <c r="AB64" s="173"/>
      <c r="AC64" s="171"/>
      <c r="AD64" s="172"/>
      <c r="AE64" s="173"/>
      <c r="AF64" s="15"/>
      <c r="AG64" s="69"/>
    </row>
    <row r="65" spans="2:33" ht="20.100000000000001" customHeight="1">
      <c r="B65" s="72"/>
      <c r="C65" s="142">
        <v>4</v>
      </c>
      <c r="D65" s="205"/>
      <c r="E65" s="205"/>
      <c r="F65" s="205"/>
      <c r="G65" s="205"/>
      <c r="H65" s="205"/>
      <c r="I65" s="205"/>
      <c r="J65" s="205"/>
      <c r="K65" s="205"/>
      <c r="L65" s="206"/>
      <c r="M65" s="206"/>
      <c r="N65" s="206"/>
      <c r="O65" s="206"/>
      <c r="P65" s="205"/>
      <c r="Q65" s="205"/>
      <c r="R65" s="205"/>
      <c r="S65" s="205"/>
      <c r="T65" s="171"/>
      <c r="U65" s="172"/>
      <c r="V65" s="173"/>
      <c r="W65" s="171"/>
      <c r="X65" s="172"/>
      <c r="Y65" s="173"/>
      <c r="Z65" s="171"/>
      <c r="AA65" s="172"/>
      <c r="AB65" s="173"/>
      <c r="AC65" s="171"/>
      <c r="AD65" s="172"/>
      <c r="AE65" s="173"/>
      <c r="AF65" s="15"/>
      <c r="AG65" s="69"/>
    </row>
    <row r="66" spans="2:33" ht="20.100000000000001" customHeight="1">
      <c r="B66" s="72"/>
      <c r="C66" s="142">
        <v>5</v>
      </c>
      <c r="D66" s="205"/>
      <c r="E66" s="205"/>
      <c r="F66" s="205"/>
      <c r="G66" s="205"/>
      <c r="H66" s="205"/>
      <c r="I66" s="205"/>
      <c r="J66" s="205"/>
      <c r="K66" s="205"/>
      <c r="L66" s="206"/>
      <c r="M66" s="206"/>
      <c r="N66" s="206"/>
      <c r="O66" s="206"/>
      <c r="P66" s="205"/>
      <c r="Q66" s="205"/>
      <c r="R66" s="205"/>
      <c r="S66" s="205"/>
      <c r="T66" s="171"/>
      <c r="U66" s="172"/>
      <c r="V66" s="173"/>
      <c r="W66" s="171"/>
      <c r="X66" s="172"/>
      <c r="Y66" s="173"/>
      <c r="Z66" s="171"/>
      <c r="AA66" s="172"/>
      <c r="AB66" s="173"/>
      <c r="AC66" s="171"/>
      <c r="AD66" s="172"/>
      <c r="AE66" s="173"/>
      <c r="AF66" s="15"/>
      <c r="AG66" s="69"/>
    </row>
    <row r="67" spans="2:33" ht="20.100000000000001" customHeight="1">
      <c r="B67" s="72"/>
      <c r="C67" s="142">
        <v>6</v>
      </c>
      <c r="D67" s="205"/>
      <c r="E67" s="205"/>
      <c r="F67" s="205"/>
      <c r="G67" s="205"/>
      <c r="H67" s="205"/>
      <c r="I67" s="205"/>
      <c r="J67" s="205"/>
      <c r="K67" s="205"/>
      <c r="L67" s="206"/>
      <c r="M67" s="206"/>
      <c r="N67" s="206"/>
      <c r="O67" s="206"/>
      <c r="P67" s="205"/>
      <c r="Q67" s="205"/>
      <c r="R67" s="205"/>
      <c r="S67" s="205"/>
      <c r="T67" s="171"/>
      <c r="U67" s="172"/>
      <c r="V67" s="173"/>
      <c r="W67" s="171"/>
      <c r="X67" s="172"/>
      <c r="Y67" s="173"/>
      <c r="Z67" s="171"/>
      <c r="AA67" s="172"/>
      <c r="AB67" s="173"/>
      <c r="AC67" s="171"/>
      <c r="AD67" s="172"/>
      <c r="AE67" s="173"/>
      <c r="AF67" s="15"/>
      <c r="AG67" s="69"/>
    </row>
    <row r="68" spans="2:33" ht="20.100000000000001" customHeight="1">
      <c r="B68" s="72"/>
      <c r="C68" s="142">
        <v>7</v>
      </c>
      <c r="D68" s="205"/>
      <c r="E68" s="205"/>
      <c r="F68" s="205"/>
      <c r="G68" s="205"/>
      <c r="H68" s="205"/>
      <c r="I68" s="205"/>
      <c r="J68" s="205"/>
      <c r="K68" s="205"/>
      <c r="L68" s="206"/>
      <c r="M68" s="206"/>
      <c r="N68" s="206"/>
      <c r="O68" s="206"/>
      <c r="P68" s="205"/>
      <c r="Q68" s="205"/>
      <c r="R68" s="205"/>
      <c r="S68" s="205"/>
      <c r="T68" s="171"/>
      <c r="U68" s="172"/>
      <c r="V68" s="173"/>
      <c r="W68" s="171"/>
      <c r="X68" s="172"/>
      <c r="Y68" s="173"/>
      <c r="Z68" s="171"/>
      <c r="AA68" s="172"/>
      <c r="AB68" s="173"/>
      <c r="AC68" s="171"/>
      <c r="AD68" s="172"/>
      <c r="AE68" s="173"/>
      <c r="AF68" s="15"/>
      <c r="AG68" s="69"/>
    </row>
    <row r="69" spans="2:33" ht="20.100000000000001" customHeight="1">
      <c r="B69" s="72"/>
      <c r="C69" s="142">
        <v>8</v>
      </c>
      <c r="D69" s="205"/>
      <c r="E69" s="205"/>
      <c r="F69" s="205"/>
      <c r="G69" s="205"/>
      <c r="H69" s="205"/>
      <c r="I69" s="205"/>
      <c r="J69" s="205"/>
      <c r="K69" s="205"/>
      <c r="L69" s="206"/>
      <c r="M69" s="206"/>
      <c r="N69" s="206"/>
      <c r="O69" s="206"/>
      <c r="P69" s="205"/>
      <c r="Q69" s="205"/>
      <c r="R69" s="205"/>
      <c r="S69" s="205"/>
      <c r="T69" s="171"/>
      <c r="U69" s="172"/>
      <c r="V69" s="173"/>
      <c r="W69" s="171"/>
      <c r="X69" s="172"/>
      <c r="Y69" s="173"/>
      <c r="Z69" s="171"/>
      <c r="AA69" s="172"/>
      <c r="AB69" s="173"/>
      <c r="AC69" s="171"/>
      <c r="AD69" s="172"/>
      <c r="AE69" s="173"/>
      <c r="AF69" s="15"/>
      <c r="AG69" s="69"/>
    </row>
    <row r="70" spans="2:33" ht="20.100000000000001" customHeight="1">
      <c r="B70" s="72"/>
      <c r="C70" s="142">
        <v>9</v>
      </c>
      <c r="D70" s="205"/>
      <c r="E70" s="205"/>
      <c r="F70" s="205"/>
      <c r="G70" s="205"/>
      <c r="H70" s="205"/>
      <c r="I70" s="205"/>
      <c r="J70" s="205"/>
      <c r="K70" s="205"/>
      <c r="L70" s="206"/>
      <c r="M70" s="206"/>
      <c r="N70" s="206"/>
      <c r="O70" s="206"/>
      <c r="P70" s="205"/>
      <c r="Q70" s="205"/>
      <c r="R70" s="205"/>
      <c r="S70" s="205"/>
      <c r="T70" s="171"/>
      <c r="U70" s="172"/>
      <c r="V70" s="173"/>
      <c r="W70" s="171"/>
      <c r="X70" s="172"/>
      <c r="Y70" s="173"/>
      <c r="Z70" s="171"/>
      <c r="AA70" s="172"/>
      <c r="AB70" s="173"/>
      <c r="AC70" s="171"/>
      <c r="AD70" s="172"/>
      <c r="AE70" s="173"/>
      <c r="AF70" s="15"/>
      <c r="AG70" s="69"/>
    </row>
    <row r="71" spans="2:33" ht="20.100000000000001" customHeight="1">
      <c r="B71" s="72"/>
      <c r="C71" s="142">
        <v>10</v>
      </c>
      <c r="D71" s="205"/>
      <c r="E71" s="205"/>
      <c r="F71" s="205"/>
      <c r="G71" s="205"/>
      <c r="H71" s="205"/>
      <c r="I71" s="205"/>
      <c r="J71" s="205"/>
      <c r="K71" s="205"/>
      <c r="L71" s="206"/>
      <c r="M71" s="206"/>
      <c r="N71" s="206"/>
      <c r="O71" s="206"/>
      <c r="P71" s="205"/>
      <c r="Q71" s="205"/>
      <c r="R71" s="205"/>
      <c r="S71" s="205"/>
      <c r="T71" s="171"/>
      <c r="U71" s="172"/>
      <c r="V71" s="173"/>
      <c r="W71" s="171"/>
      <c r="X71" s="172"/>
      <c r="Y71" s="173"/>
      <c r="Z71" s="171"/>
      <c r="AA71" s="172"/>
      <c r="AB71" s="173"/>
      <c r="AC71" s="171"/>
      <c r="AD71" s="172"/>
      <c r="AE71" s="173"/>
      <c r="AF71" s="15"/>
      <c r="AG71" s="69"/>
    </row>
    <row r="72" spans="2:33" ht="20.100000000000001" customHeight="1">
      <c r="B72" s="72"/>
      <c r="C72" s="142">
        <v>11</v>
      </c>
      <c r="D72" s="205"/>
      <c r="E72" s="205"/>
      <c r="F72" s="205"/>
      <c r="G72" s="205"/>
      <c r="H72" s="205"/>
      <c r="I72" s="205"/>
      <c r="J72" s="205"/>
      <c r="K72" s="205"/>
      <c r="L72" s="206"/>
      <c r="M72" s="206"/>
      <c r="N72" s="206"/>
      <c r="O72" s="206"/>
      <c r="P72" s="205"/>
      <c r="Q72" s="205"/>
      <c r="R72" s="205"/>
      <c r="S72" s="205"/>
      <c r="T72" s="171"/>
      <c r="U72" s="172"/>
      <c r="V72" s="173"/>
      <c r="W72" s="171"/>
      <c r="X72" s="172"/>
      <c r="Y72" s="173"/>
      <c r="Z72" s="171"/>
      <c r="AA72" s="172"/>
      <c r="AB72" s="173"/>
      <c r="AC72" s="171"/>
      <c r="AD72" s="172"/>
      <c r="AE72" s="173"/>
      <c r="AF72" s="15"/>
      <c r="AG72" s="69"/>
    </row>
    <row r="73" spans="2:33" ht="20.100000000000001" customHeight="1">
      <c r="B73" s="72"/>
      <c r="C73" s="142">
        <v>12</v>
      </c>
      <c r="D73" s="205"/>
      <c r="E73" s="205"/>
      <c r="F73" s="205"/>
      <c r="G73" s="205"/>
      <c r="H73" s="205"/>
      <c r="I73" s="205"/>
      <c r="J73" s="205"/>
      <c r="K73" s="205"/>
      <c r="L73" s="206"/>
      <c r="M73" s="206"/>
      <c r="N73" s="206"/>
      <c r="O73" s="206"/>
      <c r="P73" s="205"/>
      <c r="Q73" s="205"/>
      <c r="R73" s="205"/>
      <c r="S73" s="205"/>
      <c r="T73" s="171"/>
      <c r="U73" s="172"/>
      <c r="V73" s="173"/>
      <c r="W73" s="171"/>
      <c r="X73" s="172"/>
      <c r="Y73" s="173"/>
      <c r="Z73" s="171"/>
      <c r="AA73" s="172"/>
      <c r="AB73" s="173"/>
      <c r="AC73" s="171"/>
      <c r="AD73" s="172"/>
      <c r="AE73" s="173"/>
      <c r="AF73" s="15"/>
      <c r="AG73" s="69"/>
    </row>
    <row r="74" spans="2:33" ht="20.100000000000001" customHeight="1">
      <c r="B74" s="72"/>
      <c r="C74" s="142">
        <v>13</v>
      </c>
      <c r="D74" s="205"/>
      <c r="E74" s="205"/>
      <c r="F74" s="205"/>
      <c r="G74" s="205"/>
      <c r="H74" s="205"/>
      <c r="I74" s="205"/>
      <c r="J74" s="205"/>
      <c r="K74" s="205"/>
      <c r="L74" s="206"/>
      <c r="M74" s="206"/>
      <c r="N74" s="206"/>
      <c r="O74" s="206"/>
      <c r="P74" s="205"/>
      <c r="Q74" s="205"/>
      <c r="R74" s="205"/>
      <c r="S74" s="205"/>
      <c r="T74" s="171"/>
      <c r="U74" s="172"/>
      <c r="V74" s="173"/>
      <c r="W74" s="171"/>
      <c r="X74" s="172"/>
      <c r="Y74" s="173"/>
      <c r="Z74" s="171"/>
      <c r="AA74" s="172"/>
      <c r="AB74" s="173"/>
      <c r="AC74" s="171"/>
      <c r="AD74" s="172"/>
      <c r="AE74" s="173"/>
      <c r="AF74" s="15"/>
      <c r="AG74" s="69"/>
    </row>
    <row r="75" spans="2:33" ht="20.100000000000001" customHeight="1">
      <c r="B75" s="72"/>
      <c r="C75" s="142">
        <v>14</v>
      </c>
      <c r="D75" s="205"/>
      <c r="E75" s="205"/>
      <c r="F75" s="205"/>
      <c r="G75" s="205"/>
      <c r="H75" s="205"/>
      <c r="I75" s="205"/>
      <c r="J75" s="205"/>
      <c r="K75" s="205"/>
      <c r="L75" s="206"/>
      <c r="M75" s="206"/>
      <c r="N75" s="206"/>
      <c r="O75" s="206"/>
      <c r="P75" s="205"/>
      <c r="Q75" s="205"/>
      <c r="R75" s="205"/>
      <c r="S75" s="205"/>
      <c r="T75" s="171"/>
      <c r="U75" s="172"/>
      <c r="V75" s="173"/>
      <c r="W75" s="171"/>
      <c r="X75" s="172"/>
      <c r="Y75" s="173"/>
      <c r="Z75" s="171"/>
      <c r="AA75" s="172"/>
      <c r="AB75" s="173"/>
      <c r="AC75" s="171"/>
      <c r="AD75" s="172"/>
      <c r="AE75" s="173"/>
      <c r="AF75" s="15"/>
      <c r="AG75" s="69"/>
    </row>
    <row r="76" spans="2:33" ht="20.100000000000001" customHeight="1">
      <c r="B76" s="72"/>
      <c r="C76" s="142">
        <v>15</v>
      </c>
      <c r="D76" s="205"/>
      <c r="E76" s="205"/>
      <c r="F76" s="205"/>
      <c r="G76" s="205"/>
      <c r="H76" s="205"/>
      <c r="I76" s="205"/>
      <c r="J76" s="205"/>
      <c r="K76" s="205"/>
      <c r="L76" s="206"/>
      <c r="M76" s="206"/>
      <c r="N76" s="206"/>
      <c r="O76" s="206"/>
      <c r="P76" s="205"/>
      <c r="Q76" s="205"/>
      <c r="R76" s="205"/>
      <c r="S76" s="205"/>
      <c r="T76" s="171"/>
      <c r="U76" s="172"/>
      <c r="V76" s="173"/>
      <c r="W76" s="171"/>
      <c r="X76" s="172"/>
      <c r="Y76" s="173"/>
      <c r="Z76" s="171"/>
      <c r="AA76" s="172"/>
      <c r="AB76" s="173"/>
      <c r="AC76" s="171"/>
      <c r="AD76" s="172"/>
      <c r="AE76" s="173"/>
      <c r="AF76" s="15"/>
      <c r="AG76" s="69"/>
    </row>
    <row r="77" spans="2:33" ht="20.100000000000001" customHeight="1">
      <c r="B77" s="72"/>
      <c r="C77" s="142">
        <v>16</v>
      </c>
      <c r="D77" s="205"/>
      <c r="E77" s="205"/>
      <c r="F77" s="205"/>
      <c r="G77" s="205"/>
      <c r="H77" s="205"/>
      <c r="I77" s="205"/>
      <c r="J77" s="205"/>
      <c r="K77" s="205"/>
      <c r="L77" s="206"/>
      <c r="M77" s="206"/>
      <c r="N77" s="206"/>
      <c r="O77" s="206"/>
      <c r="P77" s="205"/>
      <c r="Q77" s="205"/>
      <c r="R77" s="205"/>
      <c r="S77" s="205"/>
      <c r="T77" s="171"/>
      <c r="U77" s="172"/>
      <c r="V77" s="173"/>
      <c r="W77" s="171"/>
      <c r="X77" s="172"/>
      <c r="Y77" s="173"/>
      <c r="Z77" s="171"/>
      <c r="AA77" s="172"/>
      <c r="AB77" s="173"/>
      <c r="AC77" s="171"/>
      <c r="AD77" s="172"/>
      <c r="AE77" s="173"/>
      <c r="AF77" s="15"/>
      <c r="AG77" s="69"/>
    </row>
    <row r="78" spans="2:33" ht="20.100000000000001" customHeight="1">
      <c r="B78" s="72"/>
      <c r="C78" s="142">
        <v>17</v>
      </c>
      <c r="D78" s="205"/>
      <c r="E78" s="205"/>
      <c r="F78" s="205"/>
      <c r="G78" s="205"/>
      <c r="H78" s="205"/>
      <c r="I78" s="205"/>
      <c r="J78" s="205"/>
      <c r="K78" s="205"/>
      <c r="L78" s="206"/>
      <c r="M78" s="206"/>
      <c r="N78" s="206"/>
      <c r="O78" s="206"/>
      <c r="P78" s="205"/>
      <c r="Q78" s="205"/>
      <c r="R78" s="205"/>
      <c r="S78" s="205"/>
      <c r="T78" s="171"/>
      <c r="U78" s="172"/>
      <c r="V78" s="173"/>
      <c r="W78" s="171"/>
      <c r="X78" s="172"/>
      <c r="Y78" s="173"/>
      <c r="Z78" s="171"/>
      <c r="AA78" s="172"/>
      <c r="AB78" s="173"/>
      <c r="AC78" s="171"/>
      <c r="AD78" s="172"/>
      <c r="AE78" s="173"/>
      <c r="AF78" s="15"/>
      <c r="AG78" s="69"/>
    </row>
    <row r="79" spans="2:33" ht="20.100000000000001" customHeight="1">
      <c r="B79" s="72"/>
      <c r="C79" s="142">
        <v>18</v>
      </c>
      <c r="D79" s="205"/>
      <c r="E79" s="205"/>
      <c r="F79" s="205"/>
      <c r="G79" s="205"/>
      <c r="H79" s="205"/>
      <c r="I79" s="205"/>
      <c r="J79" s="205"/>
      <c r="K79" s="205"/>
      <c r="L79" s="206"/>
      <c r="M79" s="206"/>
      <c r="N79" s="206"/>
      <c r="O79" s="206"/>
      <c r="P79" s="205"/>
      <c r="Q79" s="205"/>
      <c r="R79" s="205"/>
      <c r="S79" s="205"/>
      <c r="T79" s="171"/>
      <c r="U79" s="172"/>
      <c r="V79" s="173"/>
      <c r="W79" s="171"/>
      <c r="X79" s="172"/>
      <c r="Y79" s="173"/>
      <c r="Z79" s="171"/>
      <c r="AA79" s="172"/>
      <c r="AB79" s="173"/>
      <c r="AC79" s="171"/>
      <c r="AD79" s="172"/>
      <c r="AE79" s="173"/>
      <c r="AF79" s="15"/>
      <c r="AG79" s="69"/>
    </row>
    <row r="80" spans="2:33" ht="20.100000000000001" customHeight="1">
      <c r="B80" s="72"/>
      <c r="C80" s="142">
        <v>19</v>
      </c>
      <c r="D80" s="205"/>
      <c r="E80" s="205"/>
      <c r="F80" s="205"/>
      <c r="G80" s="205"/>
      <c r="H80" s="205"/>
      <c r="I80" s="205"/>
      <c r="J80" s="205"/>
      <c r="K80" s="205"/>
      <c r="L80" s="206"/>
      <c r="M80" s="206"/>
      <c r="N80" s="206"/>
      <c r="O80" s="206"/>
      <c r="P80" s="205"/>
      <c r="Q80" s="205"/>
      <c r="R80" s="205"/>
      <c r="S80" s="205"/>
      <c r="T80" s="171"/>
      <c r="U80" s="172"/>
      <c r="V80" s="173"/>
      <c r="W80" s="171"/>
      <c r="X80" s="172"/>
      <c r="Y80" s="173"/>
      <c r="Z80" s="171"/>
      <c r="AA80" s="172"/>
      <c r="AB80" s="173"/>
      <c r="AC80" s="171"/>
      <c r="AD80" s="172"/>
      <c r="AE80" s="173"/>
      <c r="AF80" s="15"/>
      <c r="AG80" s="69"/>
    </row>
    <row r="81" spans="2:33" ht="20.100000000000001" customHeight="1">
      <c r="B81" s="72"/>
      <c r="C81" s="142">
        <v>20</v>
      </c>
      <c r="D81" s="205"/>
      <c r="E81" s="205"/>
      <c r="F81" s="205"/>
      <c r="G81" s="205"/>
      <c r="H81" s="205"/>
      <c r="I81" s="205"/>
      <c r="J81" s="205"/>
      <c r="K81" s="205"/>
      <c r="L81" s="206"/>
      <c r="M81" s="206"/>
      <c r="N81" s="206"/>
      <c r="O81" s="206"/>
      <c r="P81" s="205"/>
      <c r="Q81" s="205"/>
      <c r="R81" s="205"/>
      <c r="S81" s="205"/>
      <c r="T81" s="171"/>
      <c r="U81" s="172"/>
      <c r="V81" s="173"/>
      <c r="W81" s="171"/>
      <c r="X81" s="172"/>
      <c r="Y81" s="173"/>
      <c r="Z81" s="171"/>
      <c r="AA81" s="172"/>
      <c r="AB81" s="173"/>
      <c r="AC81" s="171"/>
      <c r="AD81" s="172"/>
      <c r="AE81" s="173"/>
      <c r="AF81" s="15"/>
      <c r="AG81" s="69"/>
    </row>
    <row r="82" spans="2:33" ht="20.100000000000001" customHeight="1">
      <c r="B82" s="72"/>
      <c r="C82" s="142">
        <v>21</v>
      </c>
      <c r="D82" s="205"/>
      <c r="E82" s="205"/>
      <c r="F82" s="205"/>
      <c r="G82" s="205"/>
      <c r="H82" s="205"/>
      <c r="I82" s="205"/>
      <c r="J82" s="205"/>
      <c r="K82" s="205"/>
      <c r="L82" s="206"/>
      <c r="M82" s="206"/>
      <c r="N82" s="206"/>
      <c r="O82" s="206"/>
      <c r="P82" s="205"/>
      <c r="Q82" s="205"/>
      <c r="R82" s="205"/>
      <c r="S82" s="205"/>
      <c r="T82" s="171"/>
      <c r="U82" s="172"/>
      <c r="V82" s="173"/>
      <c r="W82" s="171"/>
      <c r="X82" s="172"/>
      <c r="Y82" s="173"/>
      <c r="Z82" s="171"/>
      <c r="AA82" s="172"/>
      <c r="AB82" s="173"/>
      <c r="AC82" s="171"/>
      <c r="AD82" s="172"/>
      <c r="AE82" s="173"/>
      <c r="AF82" s="15"/>
      <c r="AG82" s="69"/>
    </row>
    <row r="83" spans="2:33" ht="20.100000000000001" customHeight="1">
      <c r="B83" s="72"/>
      <c r="C83" s="142">
        <v>22</v>
      </c>
      <c r="D83" s="205"/>
      <c r="E83" s="205"/>
      <c r="F83" s="205"/>
      <c r="G83" s="205"/>
      <c r="H83" s="205"/>
      <c r="I83" s="205"/>
      <c r="J83" s="205"/>
      <c r="K83" s="205"/>
      <c r="L83" s="206"/>
      <c r="M83" s="206"/>
      <c r="N83" s="206"/>
      <c r="O83" s="206"/>
      <c r="P83" s="205"/>
      <c r="Q83" s="205"/>
      <c r="R83" s="205"/>
      <c r="S83" s="205"/>
      <c r="T83" s="171"/>
      <c r="U83" s="172"/>
      <c r="V83" s="173"/>
      <c r="W83" s="171"/>
      <c r="X83" s="172"/>
      <c r="Y83" s="173"/>
      <c r="Z83" s="171"/>
      <c r="AA83" s="172"/>
      <c r="AB83" s="173"/>
      <c r="AC83" s="171"/>
      <c r="AD83" s="172"/>
      <c r="AE83" s="173"/>
      <c r="AF83" s="15"/>
      <c r="AG83" s="69"/>
    </row>
    <row r="84" spans="2:33" ht="20.100000000000001" customHeight="1">
      <c r="B84" s="72"/>
      <c r="C84" s="142">
        <v>23</v>
      </c>
      <c r="D84" s="205"/>
      <c r="E84" s="205"/>
      <c r="F84" s="205"/>
      <c r="G84" s="205"/>
      <c r="H84" s="205"/>
      <c r="I84" s="205"/>
      <c r="J84" s="205"/>
      <c r="K84" s="205"/>
      <c r="L84" s="206"/>
      <c r="M84" s="206"/>
      <c r="N84" s="206"/>
      <c r="O84" s="206"/>
      <c r="P84" s="205"/>
      <c r="Q84" s="205"/>
      <c r="R84" s="205"/>
      <c r="S84" s="205"/>
      <c r="T84" s="171"/>
      <c r="U84" s="172"/>
      <c r="V84" s="173"/>
      <c r="W84" s="171"/>
      <c r="X84" s="172"/>
      <c r="Y84" s="173"/>
      <c r="Z84" s="171"/>
      <c r="AA84" s="172"/>
      <c r="AB84" s="173"/>
      <c r="AC84" s="171"/>
      <c r="AD84" s="172"/>
      <c r="AE84" s="173"/>
      <c r="AF84" s="15"/>
      <c r="AG84" s="69"/>
    </row>
    <row r="85" spans="2:33" ht="20.100000000000001" customHeight="1">
      <c r="B85" s="72"/>
      <c r="C85" s="142">
        <v>24</v>
      </c>
      <c r="D85" s="205"/>
      <c r="E85" s="205"/>
      <c r="F85" s="205"/>
      <c r="G85" s="205"/>
      <c r="H85" s="205"/>
      <c r="I85" s="205"/>
      <c r="J85" s="205"/>
      <c r="K85" s="205"/>
      <c r="L85" s="206"/>
      <c r="M85" s="206"/>
      <c r="N85" s="206"/>
      <c r="O85" s="206"/>
      <c r="P85" s="205"/>
      <c r="Q85" s="205"/>
      <c r="R85" s="205"/>
      <c r="S85" s="205"/>
      <c r="T85" s="171"/>
      <c r="U85" s="172"/>
      <c r="V85" s="173"/>
      <c r="W85" s="171"/>
      <c r="X85" s="172"/>
      <c r="Y85" s="173"/>
      <c r="Z85" s="171"/>
      <c r="AA85" s="172"/>
      <c r="AB85" s="173"/>
      <c r="AC85" s="171"/>
      <c r="AD85" s="172"/>
      <c r="AE85" s="173"/>
      <c r="AF85" s="15"/>
      <c r="AG85" s="69"/>
    </row>
    <row r="86" spans="2:33" ht="20.100000000000001" customHeight="1">
      <c r="B86" s="72"/>
      <c r="C86" s="142">
        <v>25</v>
      </c>
      <c r="D86" s="205"/>
      <c r="E86" s="205"/>
      <c r="F86" s="205"/>
      <c r="G86" s="205"/>
      <c r="H86" s="205"/>
      <c r="I86" s="205"/>
      <c r="J86" s="205"/>
      <c r="K86" s="205"/>
      <c r="L86" s="206"/>
      <c r="M86" s="206"/>
      <c r="N86" s="206"/>
      <c r="O86" s="206"/>
      <c r="P86" s="205"/>
      <c r="Q86" s="205"/>
      <c r="R86" s="205"/>
      <c r="S86" s="205"/>
      <c r="T86" s="171"/>
      <c r="U86" s="172"/>
      <c r="V86" s="173"/>
      <c r="W86" s="171"/>
      <c r="X86" s="172"/>
      <c r="Y86" s="173"/>
      <c r="Z86" s="171"/>
      <c r="AA86" s="172"/>
      <c r="AB86" s="173"/>
      <c r="AC86" s="171"/>
      <c r="AD86" s="172"/>
      <c r="AE86" s="173"/>
      <c r="AF86" s="15"/>
      <c r="AG86" s="69"/>
    </row>
    <row r="87" spans="2:33" ht="20.100000000000001" customHeight="1">
      <c r="B87" s="72"/>
      <c r="C87" s="142">
        <v>26</v>
      </c>
      <c r="D87" s="205"/>
      <c r="E87" s="205"/>
      <c r="F87" s="205"/>
      <c r="G87" s="205"/>
      <c r="H87" s="205"/>
      <c r="I87" s="205"/>
      <c r="J87" s="205"/>
      <c r="K87" s="205"/>
      <c r="L87" s="206"/>
      <c r="M87" s="206"/>
      <c r="N87" s="206"/>
      <c r="O87" s="206"/>
      <c r="P87" s="205"/>
      <c r="Q87" s="205"/>
      <c r="R87" s="205"/>
      <c r="S87" s="205"/>
      <c r="T87" s="171"/>
      <c r="U87" s="172"/>
      <c r="V87" s="173"/>
      <c r="W87" s="171"/>
      <c r="X87" s="172"/>
      <c r="Y87" s="173"/>
      <c r="Z87" s="171"/>
      <c r="AA87" s="172"/>
      <c r="AB87" s="173"/>
      <c r="AC87" s="171"/>
      <c r="AD87" s="172"/>
      <c r="AE87" s="173"/>
      <c r="AF87" s="15"/>
      <c r="AG87" s="69"/>
    </row>
    <row r="88" spans="2:33" ht="20.100000000000001" customHeight="1">
      <c r="B88" s="72"/>
      <c r="C88" s="142">
        <v>27</v>
      </c>
      <c r="D88" s="205"/>
      <c r="E88" s="205"/>
      <c r="F88" s="205"/>
      <c r="G88" s="205"/>
      <c r="H88" s="205"/>
      <c r="I88" s="205"/>
      <c r="J88" s="205"/>
      <c r="K88" s="205"/>
      <c r="L88" s="206"/>
      <c r="M88" s="206"/>
      <c r="N88" s="206"/>
      <c r="O88" s="206"/>
      <c r="P88" s="205"/>
      <c r="Q88" s="205"/>
      <c r="R88" s="205"/>
      <c r="S88" s="205"/>
      <c r="T88" s="171"/>
      <c r="U88" s="172"/>
      <c r="V88" s="173"/>
      <c r="W88" s="171"/>
      <c r="X88" s="172"/>
      <c r="Y88" s="173"/>
      <c r="Z88" s="171"/>
      <c r="AA88" s="172"/>
      <c r="AB88" s="173"/>
      <c r="AC88" s="171"/>
      <c r="AD88" s="172"/>
      <c r="AE88" s="173"/>
      <c r="AF88" s="15"/>
      <c r="AG88" s="69"/>
    </row>
    <row r="89" spans="2:33" ht="20.100000000000001" customHeight="1">
      <c r="B89" s="72"/>
      <c r="C89" s="142">
        <v>28</v>
      </c>
      <c r="D89" s="205"/>
      <c r="E89" s="205"/>
      <c r="F89" s="205"/>
      <c r="G89" s="205"/>
      <c r="H89" s="205"/>
      <c r="I89" s="205"/>
      <c r="J89" s="205"/>
      <c r="K89" s="205"/>
      <c r="L89" s="206"/>
      <c r="M89" s="206"/>
      <c r="N89" s="206"/>
      <c r="O89" s="206"/>
      <c r="P89" s="205"/>
      <c r="Q89" s="205"/>
      <c r="R89" s="205"/>
      <c r="S89" s="205"/>
      <c r="T89" s="171"/>
      <c r="U89" s="172"/>
      <c r="V89" s="173"/>
      <c r="W89" s="171"/>
      <c r="X89" s="172"/>
      <c r="Y89" s="173"/>
      <c r="Z89" s="171"/>
      <c r="AA89" s="172"/>
      <c r="AB89" s="173"/>
      <c r="AC89" s="171"/>
      <c r="AD89" s="172"/>
      <c r="AE89" s="173"/>
      <c r="AF89" s="15"/>
      <c r="AG89" s="69"/>
    </row>
    <row r="90" spans="2:33" ht="20.100000000000001" customHeight="1">
      <c r="B90" s="72"/>
      <c r="C90" s="142">
        <v>29</v>
      </c>
      <c r="D90" s="205"/>
      <c r="E90" s="205"/>
      <c r="F90" s="205"/>
      <c r="G90" s="205"/>
      <c r="H90" s="205"/>
      <c r="I90" s="205"/>
      <c r="J90" s="205"/>
      <c r="K90" s="205"/>
      <c r="L90" s="206"/>
      <c r="M90" s="206"/>
      <c r="N90" s="206"/>
      <c r="O90" s="206"/>
      <c r="P90" s="205"/>
      <c r="Q90" s="205"/>
      <c r="R90" s="205"/>
      <c r="S90" s="205"/>
      <c r="T90" s="171"/>
      <c r="U90" s="172"/>
      <c r="V90" s="173"/>
      <c r="W90" s="171"/>
      <c r="X90" s="172"/>
      <c r="Y90" s="173"/>
      <c r="Z90" s="171"/>
      <c r="AA90" s="172"/>
      <c r="AB90" s="173"/>
      <c r="AC90" s="171"/>
      <c r="AD90" s="172"/>
      <c r="AE90" s="173"/>
      <c r="AF90" s="15"/>
      <c r="AG90" s="69"/>
    </row>
    <row r="91" spans="2:33" ht="20.100000000000001" customHeight="1">
      <c r="B91" s="72"/>
      <c r="C91" s="142">
        <v>30</v>
      </c>
      <c r="D91" s="205"/>
      <c r="E91" s="205"/>
      <c r="F91" s="205"/>
      <c r="G91" s="205"/>
      <c r="H91" s="205"/>
      <c r="I91" s="205"/>
      <c r="J91" s="205"/>
      <c r="K91" s="205"/>
      <c r="L91" s="206"/>
      <c r="M91" s="206"/>
      <c r="N91" s="206"/>
      <c r="O91" s="206"/>
      <c r="P91" s="205"/>
      <c r="Q91" s="205"/>
      <c r="R91" s="205"/>
      <c r="S91" s="205"/>
      <c r="T91" s="171"/>
      <c r="U91" s="172"/>
      <c r="V91" s="173"/>
      <c r="W91" s="171"/>
      <c r="X91" s="172"/>
      <c r="Y91" s="173"/>
      <c r="Z91" s="171"/>
      <c r="AA91" s="172"/>
      <c r="AB91" s="173"/>
      <c r="AC91" s="171"/>
      <c r="AD91" s="172"/>
      <c r="AE91" s="173"/>
      <c r="AF91" s="15"/>
      <c r="AG91" s="69"/>
    </row>
    <row r="92" spans="2:33" ht="20.100000000000001" customHeight="1">
      <c r="B92" s="72"/>
      <c r="C92" s="142">
        <v>31</v>
      </c>
      <c r="D92" s="205"/>
      <c r="E92" s="205"/>
      <c r="F92" s="205"/>
      <c r="G92" s="205"/>
      <c r="H92" s="205"/>
      <c r="I92" s="205"/>
      <c r="J92" s="205"/>
      <c r="K92" s="205"/>
      <c r="L92" s="206"/>
      <c r="M92" s="206"/>
      <c r="N92" s="206"/>
      <c r="O92" s="206"/>
      <c r="P92" s="205"/>
      <c r="Q92" s="205"/>
      <c r="R92" s="205"/>
      <c r="S92" s="205"/>
      <c r="T92" s="171"/>
      <c r="U92" s="172"/>
      <c r="V92" s="173"/>
      <c r="W92" s="171"/>
      <c r="X92" s="172"/>
      <c r="Y92" s="173"/>
      <c r="Z92" s="171"/>
      <c r="AA92" s="172"/>
      <c r="AB92" s="173"/>
      <c r="AC92" s="171"/>
      <c r="AD92" s="172"/>
      <c r="AE92" s="173"/>
      <c r="AF92" s="15"/>
      <c r="AG92" s="69"/>
    </row>
    <row r="93" spans="2:33" ht="20.100000000000001" customHeight="1">
      <c r="B93" s="72"/>
      <c r="C93" s="142">
        <v>32</v>
      </c>
      <c r="D93" s="205"/>
      <c r="E93" s="205"/>
      <c r="F93" s="205"/>
      <c r="G93" s="205"/>
      <c r="H93" s="205"/>
      <c r="I93" s="205"/>
      <c r="J93" s="205"/>
      <c r="K93" s="205"/>
      <c r="L93" s="206"/>
      <c r="M93" s="206"/>
      <c r="N93" s="206"/>
      <c r="O93" s="206"/>
      <c r="P93" s="205"/>
      <c r="Q93" s="205"/>
      <c r="R93" s="205"/>
      <c r="S93" s="205"/>
      <c r="T93" s="171"/>
      <c r="U93" s="172"/>
      <c r="V93" s="173"/>
      <c r="W93" s="171"/>
      <c r="X93" s="172"/>
      <c r="Y93" s="173"/>
      <c r="Z93" s="171"/>
      <c r="AA93" s="172"/>
      <c r="AB93" s="173"/>
      <c r="AC93" s="171"/>
      <c r="AD93" s="172"/>
      <c r="AE93" s="173"/>
      <c r="AF93" s="15"/>
      <c r="AG93" s="69"/>
    </row>
    <row r="94" spans="2:33" ht="20.100000000000001" customHeight="1">
      <c r="B94" s="72"/>
      <c r="C94" s="142">
        <v>33</v>
      </c>
      <c r="D94" s="205"/>
      <c r="E94" s="205"/>
      <c r="F94" s="205"/>
      <c r="G94" s="205"/>
      <c r="H94" s="205"/>
      <c r="I94" s="205"/>
      <c r="J94" s="205"/>
      <c r="K94" s="205"/>
      <c r="L94" s="206"/>
      <c r="M94" s="206"/>
      <c r="N94" s="206"/>
      <c r="O94" s="206"/>
      <c r="P94" s="205"/>
      <c r="Q94" s="205"/>
      <c r="R94" s="205"/>
      <c r="S94" s="205"/>
      <c r="T94" s="171"/>
      <c r="U94" s="172"/>
      <c r="V94" s="173"/>
      <c r="W94" s="171"/>
      <c r="X94" s="172"/>
      <c r="Y94" s="173"/>
      <c r="Z94" s="171"/>
      <c r="AA94" s="172"/>
      <c r="AB94" s="173"/>
      <c r="AC94" s="171"/>
      <c r="AD94" s="172"/>
      <c r="AE94" s="173"/>
      <c r="AF94" s="15"/>
      <c r="AG94" s="69"/>
    </row>
    <row r="95" spans="2:33" ht="20.100000000000001" customHeight="1">
      <c r="B95" s="72"/>
      <c r="C95" s="142">
        <v>34</v>
      </c>
      <c r="D95" s="205"/>
      <c r="E95" s="205"/>
      <c r="F95" s="205"/>
      <c r="G95" s="205"/>
      <c r="H95" s="205"/>
      <c r="I95" s="205"/>
      <c r="J95" s="205"/>
      <c r="K95" s="205"/>
      <c r="L95" s="206"/>
      <c r="M95" s="206"/>
      <c r="N95" s="206"/>
      <c r="O95" s="206"/>
      <c r="P95" s="205"/>
      <c r="Q95" s="205"/>
      <c r="R95" s="205"/>
      <c r="S95" s="205"/>
      <c r="T95" s="171"/>
      <c r="U95" s="172"/>
      <c r="V95" s="173"/>
      <c r="W95" s="171"/>
      <c r="X95" s="172"/>
      <c r="Y95" s="173"/>
      <c r="Z95" s="171"/>
      <c r="AA95" s="172"/>
      <c r="AB95" s="173"/>
      <c r="AC95" s="171"/>
      <c r="AD95" s="172"/>
      <c r="AE95" s="173"/>
      <c r="AF95" s="15"/>
      <c r="AG95" s="69"/>
    </row>
    <row r="96" spans="2:33" ht="20.100000000000001" customHeight="1">
      <c r="B96" s="72"/>
      <c r="C96" s="142">
        <v>35</v>
      </c>
      <c r="D96" s="205"/>
      <c r="E96" s="205"/>
      <c r="F96" s="205"/>
      <c r="G96" s="205"/>
      <c r="H96" s="205"/>
      <c r="I96" s="205"/>
      <c r="J96" s="205"/>
      <c r="K96" s="205"/>
      <c r="L96" s="206"/>
      <c r="M96" s="206"/>
      <c r="N96" s="206"/>
      <c r="O96" s="206"/>
      <c r="P96" s="205"/>
      <c r="Q96" s="205"/>
      <c r="R96" s="205"/>
      <c r="S96" s="205"/>
      <c r="T96" s="171"/>
      <c r="U96" s="172"/>
      <c r="V96" s="173"/>
      <c r="W96" s="171"/>
      <c r="X96" s="172"/>
      <c r="Y96" s="173"/>
      <c r="Z96" s="171"/>
      <c r="AA96" s="172"/>
      <c r="AB96" s="173"/>
      <c r="AC96" s="171"/>
      <c r="AD96" s="172"/>
      <c r="AE96" s="173"/>
      <c r="AF96" s="15"/>
      <c r="AG96" s="69"/>
    </row>
    <row r="97" spans="2:33" ht="20.100000000000001" customHeight="1">
      <c r="B97" s="72"/>
      <c r="C97" s="142">
        <v>36</v>
      </c>
      <c r="D97" s="205"/>
      <c r="E97" s="205"/>
      <c r="F97" s="205"/>
      <c r="G97" s="205"/>
      <c r="H97" s="205"/>
      <c r="I97" s="205"/>
      <c r="J97" s="205"/>
      <c r="K97" s="205"/>
      <c r="L97" s="206"/>
      <c r="M97" s="206"/>
      <c r="N97" s="206"/>
      <c r="O97" s="206"/>
      <c r="P97" s="205"/>
      <c r="Q97" s="205"/>
      <c r="R97" s="205"/>
      <c r="S97" s="205"/>
      <c r="T97" s="171"/>
      <c r="U97" s="172"/>
      <c r="V97" s="173"/>
      <c r="W97" s="171"/>
      <c r="X97" s="172"/>
      <c r="Y97" s="173"/>
      <c r="Z97" s="171"/>
      <c r="AA97" s="172"/>
      <c r="AB97" s="173"/>
      <c r="AC97" s="171"/>
      <c r="AD97" s="172"/>
      <c r="AE97" s="173"/>
      <c r="AF97" s="15"/>
      <c r="AG97" s="69"/>
    </row>
    <row r="98" spans="2:33" ht="20.100000000000001" customHeight="1">
      <c r="B98" s="72"/>
      <c r="C98" s="142">
        <v>37</v>
      </c>
      <c r="D98" s="205"/>
      <c r="E98" s="205"/>
      <c r="F98" s="205"/>
      <c r="G98" s="205"/>
      <c r="H98" s="205"/>
      <c r="I98" s="205"/>
      <c r="J98" s="205"/>
      <c r="K98" s="205"/>
      <c r="L98" s="206"/>
      <c r="M98" s="206"/>
      <c r="N98" s="206"/>
      <c r="O98" s="206"/>
      <c r="P98" s="205"/>
      <c r="Q98" s="205"/>
      <c r="R98" s="205"/>
      <c r="S98" s="205"/>
      <c r="T98" s="171"/>
      <c r="U98" s="172"/>
      <c r="V98" s="173"/>
      <c r="W98" s="171"/>
      <c r="X98" s="172"/>
      <c r="Y98" s="173"/>
      <c r="Z98" s="171"/>
      <c r="AA98" s="172"/>
      <c r="AB98" s="173"/>
      <c r="AC98" s="171"/>
      <c r="AD98" s="172"/>
      <c r="AE98" s="173"/>
      <c r="AF98" s="15"/>
      <c r="AG98" s="69"/>
    </row>
    <row r="99" spans="2:33" ht="20.100000000000001" customHeight="1">
      <c r="B99" s="72"/>
      <c r="C99" s="142">
        <v>38</v>
      </c>
      <c r="D99" s="205"/>
      <c r="E99" s="205"/>
      <c r="F99" s="205"/>
      <c r="G99" s="205"/>
      <c r="H99" s="205"/>
      <c r="I99" s="205"/>
      <c r="J99" s="205"/>
      <c r="K99" s="205"/>
      <c r="L99" s="206"/>
      <c r="M99" s="206"/>
      <c r="N99" s="206"/>
      <c r="O99" s="206"/>
      <c r="P99" s="205"/>
      <c r="Q99" s="205"/>
      <c r="R99" s="205"/>
      <c r="S99" s="205"/>
      <c r="T99" s="171"/>
      <c r="U99" s="172"/>
      <c r="V99" s="173"/>
      <c r="W99" s="171"/>
      <c r="X99" s="172"/>
      <c r="Y99" s="173"/>
      <c r="Z99" s="171"/>
      <c r="AA99" s="172"/>
      <c r="AB99" s="173"/>
      <c r="AC99" s="171"/>
      <c r="AD99" s="172"/>
      <c r="AE99" s="173"/>
      <c r="AF99" s="15"/>
      <c r="AG99" s="69"/>
    </row>
    <row r="100" spans="2:33" ht="20.100000000000001" customHeight="1">
      <c r="B100" s="72"/>
      <c r="C100" s="142">
        <v>39</v>
      </c>
      <c r="D100" s="205"/>
      <c r="E100" s="205"/>
      <c r="F100" s="205"/>
      <c r="G100" s="205"/>
      <c r="H100" s="205"/>
      <c r="I100" s="205"/>
      <c r="J100" s="205"/>
      <c r="K100" s="205"/>
      <c r="L100" s="206"/>
      <c r="M100" s="206"/>
      <c r="N100" s="206"/>
      <c r="O100" s="206"/>
      <c r="P100" s="205"/>
      <c r="Q100" s="205"/>
      <c r="R100" s="205"/>
      <c r="S100" s="205"/>
      <c r="T100" s="171"/>
      <c r="U100" s="172"/>
      <c r="V100" s="173"/>
      <c r="W100" s="171"/>
      <c r="X100" s="172"/>
      <c r="Y100" s="173"/>
      <c r="Z100" s="171"/>
      <c r="AA100" s="172"/>
      <c r="AB100" s="173"/>
      <c r="AC100" s="171"/>
      <c r="AD100" s="172"/>
      <c r="AE100" s="173"/>
      <c r="AF100" s="15"/>
      <c r="AG100" s="69"/>
    </row>
    <row r="101" spans="2:33" ht="20.100000000000001" customHeight="1">
      <c r="B101" s="72"/>
      <c r="C101" s="142">
        <v>40</v>
      </c>
      <c r="D101" s="205"/>
      <c r="E101" s="205"/>
      <c r="F101" s="205"/>
      <c r="G101" s="205"/>
      <c r="H101" s="205"/>
      <c r="I101" s="205"/>
      <c r="J101" s="205"/>
      <c r="K101" s="205"/>
      <c r="L101" s="206"/>
      <c r="M101" s="206"/>
      <c r="N101" s="206"/>
      <c r="O101" s="206"/>
      <c r="P101" s="205"/>
      <c r="Q101" s="205"/>
      <c r="R101" s="205"/>
      <c r="S101" s="205"/>
      <c r="T101" s="171"/>
      <c r="U101" s="172"/>
      <c r="V101" s="173"/>
      <c r="W101" s="171"/>
      <c r="X101" s="172"/>
      <c r="Y101" s="173"/>
      <c r="Z101" s="171"/>
      <c r="AA101" s="172"/>
      <c r="AB101" s="173"/>
      <c r="AC101" s="171"/>
      <c r="AD101" s="172"/>
      <c r="AE101" s="173"/>
      <c r="AF101" s="15"/>
      <c r="AG101" s="69"/>
    </row>
    <row r="102" spans="2:33" ht="20.100000000000001" customHeight="1">
      <c r="B102" s="72"/>
      <c r="C102" s="142">
        <v>41</v>
      </c>
      <c r="D102" s="205"/>
      <c r="E102" s="205"/>
      <c r="F102" s="205"/>
      <c r="G102" s="205"/>
      <c r="H102" s="205"/>
      <c r="I102" s="205"/>
      <c r="J102" s="205"/>
      <c r="K102" s="205"/>
      <c r="L102" s="206"/>
      <c r="M102" s="206"/>
      <c r="N102" s="206"/>
      <c r="O102" s="206"/>
      <c r="P102" s="205"/>
      <c r="Q102" s="205"/>
      <c r="R102" s="205"/>
      <c r="S102" s="205"/>
      <c r="T102" s="171"/>
      <c r="U102" s="172"/>
      <c r="V102" s="173"/>
      <c r="W102" s="171"/>
      <c r="X102" s="172"/>
      <c r="Y102" s="173"/>
      <c r="Z102" s="171"/>
      <c r="AA102" s="172"/>
      <c r="AB102" s="173"/>
      <c r="AC102" s="171"/>
      <c r="AD102" s="172"/>
      <c r="AE102" s="173"/>
      <c r="AF102" s="15"/>
      <c r="AG102" s="69"/>
    </row>
    <row r="103" spans="2:33" ht="20.100000000000001" customHeight="1">
      <c r="B103" s="72"/>
      <c r="C103" s="142">
        <v>42</v>
      </c>
      <c r="D103" s="205"/>
      <c r="E103" s="205"/>
      <c r="F103" s="205"/>
      <c r="G103" s="205"/>
      <c r="H103" s="205"/>
      <c r="I103" s="205"/>
      <c r="J103" s="205"/>
      <c r="K103" s="205"/>
      <c r="L103" s="206"/>
      <c r="M103" s="206"/>
      <c r="N103" s="206"/>
      <c r="O103" s="206"/>
      <c r="P103" s="205"/>
      <c r="Q103" s="205"/>
      <c r="R103" s="205"/>
      <c r="S103" s="205"/>
      <c r="T103" s="171"/>
      <c r="U103" s="172"/>
      <c r="V103" s="173"/>
      <c r="W103" s="171"/>
      <c r="X103" s="172"/>
      <c r="Y103" s="173"/>
      <c r="Z103" s="171"/>
      <c r="AA103" s="172"/>
      <c r="AB103" s="173"/>
      <c r="AC103" s="171"/>
      <c r="AD103" s="172"/>
      <c r="AE103" s="173"/>
      <c r="AF103" s="15"/>
      <c r="AG103" s="69"/>
    </row>
    <row r="104" spans="2:33" ht="20.100000000000001" customHeight="1">
      <c r="B104" s="72"/>
      <c r="C104" s="142">
        <v>43</v>
      </c>
      <c r="D104" s="205"/>
      <c r="E104" s="205"/>
      <c r="F104" s="205"/>
      <c r="G104" s="205"/>
      <c r="H104" s="205"/>
      <c r="I104" s="205"/>
      <c r="J104" s="205"/>
      <c r="K104" s="205"/>
      <c r="L104" s="206"/>
      <c r="M104" s="206"/>
      <c r="N104" s="206"/>
      <c r="O104" s="206"/>
      <c r="P104" s="205"/>
      <c r="Q104" s="205"/>
      <c r="R104" s="205"/>
      <c r="S104" s="205"/>
      <c r="T104" s="171"/>
      <c r="U104" s="172"/>
      <c r="V104" s="173"/>
      <c r="W104" s="171"/>
      <c r="X104" s="172"/>
      <c r="Y104" s="173"/>
      <c r="Z104" s="171"/>
      <c r="AA104" s="172"/>
      <c r="AB104" s="173"/>
      <c r="AC104" s="171"/>
      <c r="AD104" s="172"/>
      <c r="AE104" s="173"/>
      <c r="AF104" s="15"/>
      <c r="AG104" s="69"/>
    </row>
    <row r="105" spans="2:33" ht="20.100000000000001" customHeight="1">
      <c r="B105" s="72"/>
      <c r="C105" s="142">
        <v>44</v>
      </c>
      <c r="D105" s="205"/>
      <c r="E105" s="205"/>
      <c r="F105" s="205"/>
      <c r="G105" s="205"/>
      <c r="H105" s="205"/>
      <c r="I105" s="205"/>
      <c r="J105" s="205"/>
      <c r="K105" s="205"/>
      <c r="L105" s="206"/>
      <c r="M105" s="206"/>
      <c r="N105" s="206"/>
      <c r="O105" s="206"/>
      <c r="P105" s="205"/>
      <c r="Q105" s="205"/>
      <c r="R105" s="205"/>
      <c r="S105" s="205"/>
      <c r="T105" s="171"/>
      <c r="U105" s="172"/>
      <c r="V105" s="173"/>
      <c r="W105" s="171"/>
      <c r="X105" s="172"/>
      <c r="Y105" s="173"/>
      <c r="Z105" s="171"/>
      <c r="AA105" s="172"/>
      <c r="AB105" s="173"/>
      <c r="AC105" s="171"/>
      <c r="AD105" s="172"/>
      <c r="AE105" s="173"/>
      <c r="AF105" s="15"/>
      <c r="AG105" s="69"/>
    </row>
    <row r="106" spans="2:33" ht="20.100000000000001" customHeight="1">
      <c r="B106" s="72"/>
      <c r="C106" s="142">
        <v>45</v>
      </c>
      <c r="D106" s="205"/>
      <c r="E106" s="205"/>
      <c r="F106" s="205"/>
      <c r="G106" s="205"/>
      <c r="H106" s="205"/>
      <c r="I106" s="205"/>
      <c r="J106" s="205"/>
      <c r="K106" s="205"/>
      <c r="L106" s="206"/>
      <c r="M106" s="206"/>
      <c r="N106" s="206"/>
      <c r="O106" s="206"/>
      <c r="P106" s="205"/>
      <c r="Q106" s="205"/>
      <c r="R106" s="205"/>
      <c r="S106" s="205"/>
      <c r="T106" s="171"/>
      <c r="U106" s="172"/>
      <c r="V106" s="173"/>
      <c r="W106" s="171"/>
      <c r="X106" s="172"/>
      <c r="Y106" s="173"/>
      <c r="Z106" s="171"/>
      <c r="AA106" s="172"/>
      <c r="AB106" s="173"/>
      <c r="AC106" s="171"/>
      <c r="AD106" s="172"/>
      <c r="AE106" s="173"/>
      <c r="AF106" s="15"/>
      <c r="AG106" s="69"/>
    </row>
    <row r="107" spans="2:33" ht="20.100000000000001" customHeight="1">
      <c r="B107" s="72"/>
      <c r="C107" s="142">
        <v>46</v>
      </c>
      <c r="D107" s="205"/>
      <c r="E107" s="205"/>
      <c r="F107" s="205"/>
      <c r="G107" s="205"/>
      <c r="H107" s="205"/>
      <c r="I107" s="205"/>
      <c r="J107" s="205"/>
      <c r="K107" s="205"/>
      <c r="L107" s="206"/>
      <c r="M107" s="206"/>
      <c r="N107" s="206"/>
      <c r="O107" s="206"/>
      <c r="P107" s="205"/>
      <c r="Q107" s="205"/>
      <c r="R107" s="205"/>
      <c r="S107" s="205"/>
      <c r="T107" s="171"/>
      <c r="U107" s="172"/>
      <c r="V107" s="173"/>
      <c r="W107" s="171"/>
      <c r="X107" s="172"/>
      <c r="Y107" s="173"/>
      <c r="Z107" s="171"/>
      <c r="AA107" s="172"/>
      <c r="AB107" s="173"/>
      <c r="AC107" s="171"/>
      <c r="AD107" s="172"/>
      <c r="AE107" s="173"/>
      <c r="AF107" s="15"/>
      <c r="AG107" s="69"/>
    </row>
    <row r="108" spans="2:33" ht="20.100000000000001" customHeight="1">
      <c r="B108" s="72"/>
      <c r="C108" s="142">
        <v>47</v>
      </c>
      <c r="D108" s="205"/>
      <c r="E108" s="205"/>
      <c r="F108" s="205"/>
      <c r="G108" s="205"/>
      <c r="H108" s="205"/>
      <c r="I108" s="205"/>
      <c r="J108" s="205"/>
      <c r="K108" s="205"/>
      <c r="L108" s="206"/>
      <c r="M108" s="206"/>
      <c r="N108" s="206"/>
      <c r="O108" s="206"/>
      <c r="P108" s="205"/>
      <c r="Q108" s="205"/>
      <c r="R108" s="205"/>
      <c r="S108" s="205"/>
      <c r="T108" s="171"/>
      <c r="U108" s="172"/>
      <c r="V108" s="173"/>
      <c r="W108" s="171"/>
      <c r="X108" s="172"/>
      <c r="Y108" s="173"/>
      <c r="Z108" s="171"/>
      <c r="AA108" s="172"/>
      <c r="AB108" s="173"/>
      <c r="AC108" s="171"/>
      <c r="AD108" s="172"/>
      <c r="AE108" s="173"/>
      <c r="AF108" s="15"/>
      <c r="AG108" s="69"/>
    </row>
    <row r="109" spans="2:33" ht="20.100000000000001" customHeight="1">
      <c r="B109" s="72"/>
      <c r="C109" s="142">
        <v>48</v>
      </c>
      <c r="D109" s="205"/>
      <c r="E109" s="205"/>
      <c r="F109" s="205"/>
      <c r="G109" s="205"/>
      <c r="H109" s="205"/>
      <c r="I109" s="205"/>
      <c r="J109" s="205"/>
      <c r="K109" s="205"/>
      <c r="L109" s="206"/>
      <c r="M109" s="206"/>
      <c r="N109" s="206"/>
      <c r="O109" s="206"/>
      <c r="P109" s="205"/>
      <c r="Q109" s="205"/>
      <c r="R109" s="205"/>
      <c r="S109" s="205"/>
      <c r="T109" s="171"/>
      <c r="U109" s="172"/>
      <c r="V109" s="173"/>
      <c r="W109" s="171"/>
      <c r="X109" s="172"/>
      <c r="Y109" s="173"/>
      <c r="Z109" s="171"/>
      <c r="AA109" s="172"/>
      <c r="AB109" s="173"/>
      <c r="AC109" s="171"/>
      <c r="AD109" s="172"/>
      <c r="AE109" s="173"/>
      <c r="AF109" s="15"/>
      <c r="AG109" s="69"/>
    </row>
    <row r="110" spans="2:33" ht="20.100000000000001" customHeight="1">
      <c r="B110" s="72"/>
      <c r="C110" s="142">
        <v>49</v>
      </c>
      <c r="D110" s="205"/>
      <c r="E110" s="205"/>
      <c r="F110" s="205"/>
      <c r="G110" s="205"/>
      <c r="H110" s="205"/>
      <c r="I110" s="205"/>
      <c r="J110" s="205"/>
      <c r="K110" s="205"/>
      <c r="L110" s="206"/>
      <c r="M110" s="206"/>
      <c r="N110" s="206"/>
      <c r="O110" s="206"/>
      <c r="P110" s="205"/>
      <c r="Q110" s="205"/>
      <c r="R110" s="205"/>
      <c r="S110" s="205"/>
      <c r="T110" s="171"/>
      <c r="U110" s="172"/>
      <c r="V110" s="173"/>
      <c r="W110" s="171"/>
      <c r="X110" s="172"/>
      <c r="Y110" s="173"/>
      <c r="Z110" s="171"/>
      <c r="AA110" s="172"/>
      <c r="AB110" s="173"/>
      <c r="AC110" s="171"/>
      <c r="AD110" s="172"/>
      <c r="AE110" s="173"/>
      <c r="AF110" s="15"/>
      <c r="AG110" s="69"/>
    </row>
    <row r="111" spans="2:33" ht="20.100000000000001" customHeight="1">
      <c r="B111" s="72"/>
      <c r="C111" s="142">
        <v>50</v>
      </c>
      <c r="D111" s="205"/>
      <c r="E111" s="205"/>
      <c r="F111" s="205"/>
      <c r="G111" s="205"/>
      <c r="H111" s="205"/>
      <c r="I111" s="205"/>
      <c r="J111" s="205"/>
      <c r="K111" s="205"/>
      <c r="L111" s="206"/>
      <c r="M111" s="206"/>
      <c r="N111" s="206"/>
      <c r="O111" s="206"/>
      <c r="P111" s="205"/>
      <c r="Q111" s="205"/>
      <c r="R111" s="205"/>
      <c r="S111" s="205"/>
      <c r="T111" s="171"/>
      <c r="U111" s="172"/>
      <c r="V111" s="173"/>
      <c r="W111" s="171"/>
      <c r="X111" s="172"/>
      <c r="Y111" s="173"/>
      <c r="Z111" s="171"/>
      <c r="AA111" s="172"/>
      <c r="AB111" s="173"/>
      <c r="AC111" s="171"/>
      <c r="AD111" s="172"/>
      <c r="AE111" s="173"/>
      <c r="AF111" s="15"/>
      <c r="AG111" s="69"/>
    </row>
    <row r="112" spans="2:33" ht="20.100000000000001" customHeight="1">
      <c r="B112" s="72"/>
      <c r="C112" s="145" t="s">
        <v>148</v>
      </c>
      <c r="D112" s="207"/>
      <c r="E112" s="208"/>
      <c r="F112" s="208"/>
      <c r="G112" s="208"/>
      <c r="H112" s="208"/>
      <c r="I112" s="208"/>
      <c r="J112" s="208"/>
      <c r="K112" s="209"/>
      <c r="L112" s="210">
        <f>SUM(L62:O111)</f>
        <v>0</v>
      </c>
      <c r="M112" s="210"/>
      <c r="N112" s="210"/>
      <c r="O112" s="210"/>
      <c r="P112" s="207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  <c r="AA112" s="208"/>
      <c r="AB112" s="208"/>
      <c r="AC112" s="208"/>
      <c r="AD112" s="208"/>
      <c r="AE112" s="209"/>
      <c r="AF112" s="15"/>
      <c r="AG112" s="69"/>
    </row>
    <row r="113" spans="2:33" ht="9.9499999999999993" customHeight="1">
      <c r="B113" s="72"/>
      <c r="C113" s="211" t="s">
        <v>110</v>
      </c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  <c r="Z113" s="211"/>
      <c r="AA113" s="211"/>
      <c r="AB113" s="211"/>
      <c r="AC113" s="211"/>
      <c r="AD113" s="211"/>
      <c r="AE113" s="211"/>
      <c r="AF113" s="15"/>
      <c r="AG113" s="69"/>
    </row>
    <row r="114" spans="2:33" ht="9.9499999999999993" customHeight="1">
      <c r="B114" s="72"/>
      <c r="C114" s="212"/>
      <c r="D114" s="212"/>
      <c r="E114" s="212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  <c r="AF114" s="15"/>
      <c r="AG114" s="69"/>
    </row>
    <row r="115" spans="2:33" ht="20.100000000000001" customHeight="1">
      <c r="B115" s="72"/>
      <c r="C115" s="183" t="s">
        <v>12</v>
      </c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  <c r="AB115" s="183"/>
      <c r="AC115" s="183"/>
      <c r="AD115" s="183"/>
      <c r="AE115" s="183"/>
      <c r="AF115" s="15"/>
      <c r="AG115" s="69"/>
    </row>
    <row r="116" spans="2:33" ht="39.950000000000003" customHeight="1">
      <c r="B116" s="72"/>
      <c r="C116" s="213" t="s">
        <v>221</v>
      </c>
      <c r="D116" s="215" t="s">
        <v>118</v>
      </c>
      <c r="E116" s="216"/>
      <c r="F116" s="219" t="s">
        <v>114</v>
      </c>
      <c r="G116" s="219"/>
      <c r="H116" s="219" t="s">
        <v>115</v>
      </c>
      <c r="I116" s="219"/>
      <c r="J116" s="219" t="s">
        <v>40</v>
      </c>
      <c r="K116" s="219"/>
      <c r="L116" s="219" t="s">
        <v>41</v>
      </c>
      <c r="M116" s="219"/>
      <c r="N116" s="221" t="s">
        <v>42</v>
      </c>
      <c r="O116" s="222"/>
      <c r="P116" s="225" t="s">
        <v>43</v>
      </c>
      <c r="Q116" s="226"/>
      <c r="R116" s="226"/>
      <c r="S116" s="226"/>
      <c r="T116" s="226"/>
      <c r="U116" s="227"/>
      <c r="V116" s="225" t="s">
        <v>44</v>
      </c>
      <c r="W116" s="226"/>
      <c r="X116" s="226"/>
      <c r="Y116" s="226"/>
      <c r="Z116" s="226"/>
      <c r="AA116" s="227"/>
      <c r="AB116" s="221" t="s">
        <v>45</v>
      </c>
      <c r="AC116" s="222"/>
      <c r="AD116" s="221" t="s">
        <v>46</v>
      </c>
      <c r="AE116" s="222"/>
      <c r="AF116" s="15"/>
      <c r="AG116" s="69"/>
    </row>
    <row r="117" spans="2:33" ht="39.950000000000003" customHeight="1">
      <c r="B117" s="72"/>
      <c r="C117" s="214"/>
      <c r="D117" s="217"/>
      <c r="E117" s="218"/>
      <c r="F117" s="219"/>
      <c r="G117" s="219"/>
      <c r="H117" s="219"/>
      <c r="I117" s="219"/>
      <c r="J117" s="219"/>
      <c r="K117" s="219"/>
      <c r="L117" s="219"/>
      <c r="M117" s="219"/>
      <c r="N117" s="223"/>
      <c r="O117" s="224"/>
      <c r="P117" s="225" t="s">
        <v>60</v>
      </c>
      <c r="Q117" s="226"/>
      <c r="R117" s="227"/>
      <c r="S117" s="225" t="s">
        <v>47</v>
      </c>
      <c r="T117" s="226"/>
      <c r="U117" s="227"/>
      <c r="V117" s="225" t="s">
        <v>59</v>
      </c>
      <c r="W117" s="226"/>
      <c r="X117" s="227"/>
      <c r="Y117" s="225" t="s">
        <v>48</v>
      </c>
      <c r="Z117" s="226"/>
      <c r="AA117" s="227"/>
      <c r="AB117" s="223"/>
      <c r="AC117" s="224"/>
      <c r="AD117" s="223"/>
      <c r="AE117" s="224"/>
      <c r="AF117" s="15"/>
      <c r="AG117" s="69"/>
    </row>
    <row r="118" spans="2:33" ht="20.100000000000001" customHeight="1">
      <c r="B118" s="72"/>
      <c r="C118" s="117">
        <v>1</v>
      </c>
      <c r="D118" s="171"/>
      <c r="E118" s="173"/>
      <c r="F118" s="205"/>
      <c r="G118" s="205"/>
      <c r="H118" s="205"/>
      <c r="I118" s="205"/>
      <c r="J118" s="205"/>
      <c r="K118" s="205"/>
      <c r="L118" s="205"/>
      <c r="M118" s="205"/>
      <c r="N118" s="171"/>
      <c r="O118" s="173"/>
      <c r="P118" s="171"/>
      <c r="Q118" s="172"/>
      <c r="R118" s="173"/>
      <c r="S118" s="171"/>
      <c r="T118" s="172"/>
      <c r="U118" s="173"/>
      <c r="V118" s="171"/>
      <c r="W118" s="172"/>
      <c r="X118" s="173"/>
      <c r="Y118" s="171"/>
      <c r="Z118" s="172"/>
      <c r="AA118" s="173"/>
      <c r="AB118" s="220"/>
      <c r="AC118" s="220"/>
      <c r="AD118" s="220"/>
      <c r="AE118" s="220"/>
      <c r="AF118" s="15"/>
      <c r="AG118" s="69"/>
    </row>
    <row r="119" spans="2:33" ht="20.100000000000001" customHeight="1">
      <c r="B119" s="72"/>
      <c r="C119" s="117">
        <v>2</v>
      </c>
      <c r="D119" s="171"/>
      <c r="E119" s="173"/>
      <c r="F119" s="205"/>
      <c r="G119" s="205"/>
      <c r="H119" s="205"/>
      <c r="I119" s="205"/>
      <c r="J119" s="205"/>
      <c r="K119" s="205"/>
      <c r="L119" s="205"/>
      <c r="M119" s="205"/>
      <c r="N119" s="171"/>
      <c r="O119" s="173"/>
      <c r="P119" s="171"/>
      <c r="Q119" s="172"/>
      <c r="R119" s="173"/>
      <c r="S119" s="171"/>
      <c r="T119" s="172"/>
      <c r="U119" s="173"/>
      <c r="V119" s="171"/>
      <c r="W119" s="172"/>
      <c r="X119" s="173"/>
      <c r="Y119" s="171"/>
      <c r="Z119" s="172"/>
      <c r="AA119" s="173"/>
      <c r="AB119" s="220"/>
      <c r="AC119" s="220"/>
      <c r="AD119" s="220"/>
      <c r="AE119" s="220"/>
      <c r="AF119" s="15"/>
      <c r="AG119" s="69"/>
    </row>
    <row r="120" spans="2:33" ht="20.100000000000001" customHeight="1">
      <c r="B120" s="72"/>
      <c r="C120" s="117">
        <v>3</v>
      </c>
      <c r="D120" s="171"/>
      <c r="E120" s="173"/>
      <c r="F120" s="205"/>
      <c r="G120" s="205"/>
      <c r="H120" s="205"/>
      <c r="I120" s="205"/>
      <c r="J120" s="205"/>
      <c r="K120" s="205"/>
      <c r="L120" s="205"/>
      <c r="M120" s="205"/>
      <c r="N120" s="171"/>
      <c r="O120" s="173"/>
      <c r="P120" s="171"/>
      <c r="Q120" s="172"/>
      <c r="R120" s="173"/>
      <c r="S120" s="171"/>
      <c r="T120" s="172"/>
      <c r="U120" s="173"/>
      <c r="V120" s="171"/>
      <c r="W120" s="172"/>
      <c r="X120" s="173"/>
      <c r="Y120" s="171"/>
      <c r="Z120" s="172"/>
      <c r="AA120" s="173"/>
      <c r="AB120" s="220"/>
      <c r="AC120" s="220"/>
      <c r="AD120" s="220"/>
      <c r="AE120" s="220"/>
      <c r="AF120" s="15"/>
      <c r="AG120" s="69"/>
    </row>
    <row r="121" spans="2:33" ht="20.100000000000001" customHeight="1">
      <c r="B121" s="72"/>
      <c r="C121" s="117">
        <v>4</v>
      </c>
      <c r="D121" s="143"/>
      <c r="E121" s="144"/>
      <c r="F121" s="205"/>
      <c r="G121" s="205"/>
      <c r="H121" s="205"/>
      <c r="I121" s="205"/>
      <c r="J121" s="205"/>
      <c r="K121" s="205"/>
      <c r="L121" s="205"/>
      <c r="M121" s="205"/>
      <c r="N121" s="171"/>
      <c r="O121" s="173"/>
      <c r="P121" s="171"/>
      <c r="Q121" s="172"/>
      <c r="R121" s="173"/>
      <c r="S121" s="171"/>
      <c r="T121" s="172"/>
      <c r="U121" s="173"/>
      <c r="V121" s="171"/>
      <c r="W121" s="172"/>
      <c r="X121" s="173"/>
      <c r="Y121" s="171"/>
      <c r="Z121" s="172"/>
      <c r="AA121" s="173"/>
      <c r="AB121" s="220"/>
      <c r="AC121" s="220"/>
      <c r="AD121" s="220"/>
      <c r="AE121" s="220"/>
      <c r="AF121" s="15"/>
      <c r="AG121" s="69"/>
    </row>
    <row r="122" spans="2:33" ht="20.100000000000001" customHeight="1">
      <c r="B122" s="72"/>
      <c r="C122" s="117">
        <v>5</v>
      </c>
      <c r="D122" s="143"/>
      <c r="E122" s="144"/>
      <c r="F122" s="205"/>
      <c r="G122" s="205"/>
      <c r="H122" s="205"/>
      <c r="I122" s="205"/>
      <c r="J122" s="205"/>
      <c r="K122" s="205"/>
      <c r="L122" s="205"/>
      <c r="M122" s="205"/>
      <c r="N122" s="171"/>
      <c r="O122" s="173"/>
      <c r="P122" s="171"/>
      <c r="Q122" s="172"/>
      <c r="R122" s="173"/>
      <c r="S122" s="171"/>
      <c r="T122" s="172"/>
      <c r="U122" s="173"/>
      <c r="V122" s="171"/>
      <c r="W122" s="172"/>
      <c r="X122" s="173"/>
      <c r="Y122" s="171"/>
      <c r="Z122" s="172"/>
      <c r="AA122" s="173"/>
      <c r="AB122" s="220"/>
      <c r="AC122" s="220"/>
      <c r="AD122" s="220"/>
      <c r="AE122" s="220"/>
      <c r="AF122" s="15"/>
      <c r="AG122" s="69"/>
    </row>
    <row r="123" spans="2:33" ht="20.100000000000001" customHeight="1">
      <c r="B123" s="72"/>
      <c r="C123" s="117">
        <v>6</v>
      </c>
      <c r="D123" s="143"/>
      <c r="E123" s="144"/>
      <c r="F123" s="205"/>
      <c r="G123" s="205"/>
      <c r="H123" s="205"/>
      <c r="I123" s="205"/>
      <c r="J123" s="205"/>
      <c r="K123" s="205"/>
      <c r="L123" s="205"/>
      <c r="M123" s="205"/>
      <c r="N123" s="171"/>
      <c r="O123" s="173"/>
      <c r="P123" s="171"/>
      <c r="Q123" s="172"/>
      <c r="R123" s="173"/>
      <c r="S123" s="171"/>
      <c r="T123" s="172"/>
      <c r="U123" s="173"/>
      <c r="V123" s="171"/>
      <c r="W123" s="172"/>
      <c r="X123" s="173"/>
      <c r="Y123" s="171"/>
      <c r="Z123" s="172"/>
      <c r="AA123" s="173"/>
      <c r="AB123" s="220"/>
      <c r="AC123" s="220"/>
      <c r="AD123" s="220"/>
      <c r="AE123" s="220"/>
      <c r="AF123" s="15"/>
      <c r="AG123" s="69"/>
    </row>
    <row r="124" spans="2:33" ht="20.100000000000001" customHeight="1">
      <c r="B124" s="72"/>
      <c r="C124" s="117">
        <v>7</v>
      </c>
      <c r="D124" s="143"/>
      <c r="E124" s="144"/>
      <c r="F124" s="205"/>
      <c r="G124" s="205"/>
      <c r="H124" s="205"/>
      <c r="I124" s="205"/>
      <c r="J124" s="205"/>
      <c r="K124" s="205"/>
      <c r="L124" s="205"/>
      <c r="M124" s="205"/>
      <c r="N124" s="171"/>
      <c r="O124" s="173"/>
      <c r="P124" s="171"/>
      <c r="Q124" s="172"/>
      <c r="R124" s="173"/>
      <c r="S124" s="171"/>
      <c r="T124" s="172"/>
      <c r="U124" s="173"/>
      <c r="V124" s="171"/>
      <c r="W124" s="172"/>
      <c r="X124" s="173"/>
      <c r="Y124" s="171"/>
      <c r="Z124" s="172"/>
      <c r="AA124" s="173"/>
      <c r="AB124" s="220"/>
      <c r="AC124" s="220"/>
      <c r="AD124" s="220"/>
      <c r="AE124" s="220"/>
      <c r="AF124" s="15"/>
      <c r="AG124" s="69"/>
    </row>
    <row r="125" spans="2:33" ht="20.100000000000001" customHeight="1">
      <c r="B125" s="72"/>
      <c r="C125" s="117">
        <v>8</v>
      </c>
      <c r="D125" s="143"/>
      <c r="E125" s="144"/>
      <c r="F125" s="205"/>
      <c r="G125" s="205"/>
      <c r="H125" s="205"/>
      <c r="I125" s="205"/>
      <c r="J125" s="205"/>
      <c r="K125" s="205"/>
      <c r="L125" s="205"/>
      <c r="M125" s="205"/>
      <c r="N125" s="171"/>
      <c r="O125" s="173"/>
      <c r="P125" s="171"/>
      <c r="Q125" s="172"/>
      <c r="R125" s="173"/>
      <c r="S125" s="171"/>
      <c r="T125" s="172"/>
      <c r="U125" s="173"/>
      <c r="V125" s="171"/>
      <c r="W125" s="172"/>
      <c r="X125" s="173"/>
      <c r="Y125" s="171"/>
      <c r="Z125" s="172"/>
      <c r="AA125" s="173"/>
      <c r="AB125" s="220"/>
      <c r="AC125" s="220"/>
      <c r="AD125" s="220"/>
      <c r="AE125" s="220"/>
      <c r="AF125" s="15"/>
      <c r="AG125" s="69"/>
    </row>
    <row r="126" spans="2:33" ht="20.100000000000001" customHeight="1">
      <c r="B126" s="72"/>
      <c r="C126" s="117">
        <v>9</v>
      </c>
      <c r="D126" s="143"/>
      <c r="E126" s="144"/>
      <c r="F126" s="205"/>
      <c r="G126" s="205"/>
      <c r="H126" s="205"/>
      <c r="I126" s="205"/>
      <c r="J126" s="205"/>
      <c r="K126" s="205"/>
      <c r="L126" s="205"/>
      <c r="M126" s="205"/>
      <c r="N126" s="171"/>
      <c r="O126" s="173"/>
      <c r="P126" s="171"/>
      <c r="Q126" s="172"/>
      <c r="R126" s="173"/>
      <c r="S126" s="171"/>
      <c r="T126" s="172"/>
      <c r="U126" s="173"/>
      <c r="V126" s="171"/>
      <c r="W126" s="172"/>
      <c r="X126" s="173"/>
      <c r="Y126" s="171"/>
      <c r="Z126" s="172"/>
      <c r="AA126" s="173"/>
      <c r="AB126" s="220"/>
      <c r="AC126" s="220"/>
      <c r="AD126" s="220"/>
      <c r="AE126" s="220"/>
      <c r="AF126" s="15"/>
      <c r="AG126" s="69"/>
    </row>
    <row r="127" spans="2:33" ht="20.100000000000001" customHeight="1">
      <c r="B127" s="72"/>
      <c r="C127" s="117">
        <v>10</v>
      </c>
      <c r="D127" s="143"/>
      <c r="E127" s="144"/>
      <c r="F127" s="205"/>
      <c r="G127" s="205"/>
      <c r="H127" s="205"/>
      <c r="I127" s="205"/>
      <c r="J127" s="205"/>
      <c r="K127" s="205"/>
      <c r="L127" s="205"/>
      <c r="M127" s="205"/>
      <c r="N127" s="171"/>
      <c r="O127" s="173"/>
      <c r="P127" s="171"/>
      <c r="Q127" s="172"/>
      <c r="R127" s="173"/>
      <c r="S127" s="171"/>
      <c r="T127" s="172"/>
      <c r="U127" s="173"/>
      <c r="V127" s="171"/>
      <c r="W127" s="172"/>
      <c r="X127" s="173"/>
      <c r="Y127" s="171"/>
      <c r="Z127" s="172"/>
      <c r="AA127" s="173"/>
      <c r="AB127" s="220"/>
      <c r="AC127" s="220"/>
      <c r="AD127" s="220"/>
      <c r="AE127" s="220"/>
      <c r="AF127" s="15"/>
      <c r="AG127" s="69"/>
    </row>
    <row r="128" spans="2:33" ht="20.100000000000001" customHeight="1">
      <c r="B128" s="72"/>
      <c r="C128" s="117">
        <v>11</v>
      </c>
      <c r="D128" s="143"/>
      <c r="E128" s="144"/>
      <c r="F128" s="205"/>
      <c r="G128" s="205"/>
      <c r="H128" s="205"/>
      <c r="I128" s="205"/>
      <c r="J128" s="205"/>
      <c r="K128" s="205"/>
      <c r="L128" s="205"/>
      <c r="M128" s="205"/>
      <c r="N128" s="171"/>
      <c r="O128" s="173"/>
      <c r="P128" s="171"/>
      <c r="Q128" s="172"/>
      <c r="R128" s="173"/>
      <c r="S128" s="171"/>
      <c r="T128" s="172"/>
      <c r="U128" s="173"/>
      <c r="V128" s="171"/>
      <c r="W128" s="172"/>
      <c r="X128" s="173"/>
      <c r="Y128" s="171"/>
      <c r="Z128" s="172"/>
      <c r="AA128" s="173"/>
      <c r="AB128" s="220"/>
      <c r="AC128" s="220"/>
      <c r="AD128" s="220"/>
      <c r="AE128" s="220"/>
      <c r="AF128" s="15"/>
      <c r="AG128" s="69"/>
    </row>
    <row r="129" spans="2:33" ht="20.100000000000001" customHeight="1">
      <c r="B129" s="72"/>
      <c r="C129" s="117">
        <v>12</v>
      </c>
      <c r="D129" s="171"/>
      <c r="E129" s="173"/>
      <c r="F129" s="205"/>
      <c r="G129" s="205"/>
      <c r="H129" s="205"/>
      <c r="I129" s="205"/>
      <c r="J129" s="205"/>
      <c r="K129" s="205"/>
      <c r="L129" s="205"/>
      <c r="M129" s="205"/>
      <c r="N129" s="171"/>
      <c r="O129" s="173"/>
      <c r="P129" s="171"/>
      <c r="Q129" s="172"/>
      <c r="R129" s="173"/>
      <c r="S129" s="171"/>
      <c r="T129" s="172"/>
      <c r="U129" s="173"/>
      <c r="V129" s="171"/>
      <c r="W129" s="172"/>
      <c r="X129" s="173"/>
      <c r="Y129" s="171"/>
      <c r="Z129" s="172"/>
      <c r="AA129" s="173"/>
      <c r="AB129" s="220"/>
      <c r="AC129" s="220"/>
      <c r="AD129" s="220"/>
      <c r="AE129" s="220"/>
      <c r="AF129" s="15"/>
      <c r="AG129" s="69"/>
    </row>
    <row r="130" spans="2:33" ht="20.100000000000001" customHeight="1">
      <c r="B130" s="72"/>
      <c r="C130" s="117">
        <v>13</v>
      </c>
      <c r="D130" s="171"/>
      <c r="E130" s="173"/>
      <c r="F130" s="205"/>
      <c r="G130" s="205"/>
      <c r="H130" s="205"/>
      <c r="I130" s="205"/>
      <c r="J130" s="205"/>
      <c r="K130" s="205"/>
      <c r="L130" s="205"/>
      <c r="M130" s="205"/>
      <c r="N130" s="171"/>
      <c r="O130" s="173"/>
      <c r="P130" s="171"/>
      <c r="Q130" s="172"/>
      <c r="R130" s="173"/>
      <c r="S130" s="171"/>
      <c r="T130" s="172"/>
      <c r="U130" s="173"/>
      <c r="V130" s="171"/>
      <c r="W130" s="172"/>
      <c r="X130" s="173"/>
      <c r="Y130" s="171"/>
      <c r="Z130" s="172"/>
      <c r="AA130" s="173"/>
      <c r="AB130" s="220"/>
      <c r="AC130" s="220"/>
      <c r="AD130" s="220"/>
      <c r="AE130" s="220"/>
      <c r="AF130" s="15"/>
      <c r="AG130" s="69"/>
    </row>
    <row r="131" spans="2:33" ht="20.100000000000001" customHeight="1">
      <c r="B131" s="72"/>
      <c r="C131" s="117">
        <v>14</v>
      </c>
      <c r="D131" s="171"/>
      <c r="E131" s="173"/>
      <c r="F131" s="205"/>
      <c r="G131" s="205"/>
      <c r="H131" s="205"/>
      <c r="I131" s="205"/>
      <c r="J131" s="205"/>
      <c r="K131" s="205"/>
      <c r="L131" s="205"/>
      <c r="M131" s="205"/>
      <c r="N131" s="171"/>
      <c r="O131" s="173"/>
      <c r="P131" s="171"/>
      <c r="Q131" s="172"/>
      <c r="R131" s="173"/>
      <c r="S131" s="171"/>
      <c r="T131" s="172"/>
      <c r="U131" s="173"/>
      <c r="V131" s="171"/>
      <c r="W131" s="172"/>
      <c r="X131" s="173"/>
      <c r="Y131" s="171"/>
      <c r="Z131" s="172"/>
      <c r="AA131" s="173"/>
      <c r="AB131" s="220"/>
      <c r="AC131" s="220"/>
      <c r="AD131" s="220"/>
      <c r="AE131" s="220"/>
      <c r="AF131" s="15"/>
      <c r="AG131" s="69"/>
    </row>
    <row r="132" spans="2:33" ht="20.100000000000001" customHeight="1">
      <c r="B132" s="72"/>
      <c r="C132" s="117">
        <v>15</v>
      </c>
      <c r="D132" s="171"/>
      <c r="E132" s="173"/>
      <c r="F132" s="205"/>
      <c r="G132" s="205"/>
      <c r="H132" s="205"/>
      <c r="I132" s="205"/>
      <c r="J132" s="205"/>
      <c r="K132" s="205"/>
      <c r="L132" s="205"/>
      <c r="M132" s="205"/>
      <c r="N132" s="171"/>
      <c r="O132" s="173"/>
      <c r="P132" s="171"/>
      <c r="Q132" s="172"/>
      <c r="R132" s="173"/>
      <c r="S132" s="171"/>
      <c r="T132" s="172"/>
      <c r="U132" s="173"/>
      <c r="V132" s="171"/>
      <c r="W132" s="172"/>
      <c r="X132" s="173"/>
      <c r="Y132" s="171"/>
      <c r="Z132" s="172"/>
      <c r="AA132" s="173"/>
      <c r="AB132" s="220"/>
      <c r="AC132" s="220"/>
      <c r="AD132" s="220"/>
      <c r="AE132" s="220"/>
      <c r="AF132" s="15"/>
      <c r="AG132" s="69"/>
    </row>
    <row r="133" spans="2:33" ht="20.100000000000001" customHeight="1">
      <c r="B133" s="72"/>
      <c r="C133" s="117">
        <v>16</v>
      </c>
      <c r="D133" s="171"/>
      <c r="E133" s="173"/>
      <c r="F133" s="205"/>
      <c r="G133" s="205"/>
      <c r="H133" s="205"/>
      <c r="I133" s="205"/>
      <c r="J133" s="205"/>
      <c r="K133" s="205"/>
      <c r="L133" s="205"/>
      <c r="M133" s="205"/>
      <c r="N133" s="171"/>
      <c r="O133" s="173"/>
      <c r="P133" s="171"/>
      <c r="Q133" s="172"/>
      <c r="R133" s="173"/>
      <c r="S133" s="171"/>
      <c r="T133" s="172"/>
      <c r="U133" s="173"/>
      <c r="V133" s="171"/>
      <c r="W133" s="172"/>
      <c r="X133" s="173"/>
      <c r="Y133" s="171"/>
      <c r="Z133" s="172"/>
      <c r="AA133" s="173"/>
      <c r="AB133" s="220"/>
      <c r="AC133" s="220"/>
      <c r="AD133" s="220"/>
      <c r="AE133" s="220"/>
      <c r="AF133" s="15"/>
      <c r="AG133" s="69"/>
    </row>
    <row r="134" spans="2:33" ht="20.100000000000001" customHeight="1">
      <c r="B134" s="72"/>
      <c r="C134" s="117">
        <v>17</v>
      </c>
      <c r="D134" s="171"/>
      <c r="E134" s="173"/>
      <c r="F134" s="205"/>
      <c r="G134" s="205"/>
      <c r="H134" s="205"/>
      <c r="I134" s="205"/>
      <c r="J134" s="205"/>
      <c r="K134" s="205"/>
      <c r="L134" s="205"/>
      <c r="M134" s="205"/>
      <c r="N134" s="171"/>
      <c r="O134" s="173"/>
      <c r="P134" s="171"/>
      <c r="Q134" s="172"/>
      <c r="R134" s="173"/>
      <c r="S134" s="171"/>
      <c r="T134" s="172"/>
      <c r="U134" s="173"/>
      <c r="V134" s="171"/>
      <c r="W134" s="172"/>
      <c r="X134" s="173"/>
      <c r="Y134" s="171"/>
      <c r="Z134" s="172"/>
      <c r="AA134" s="173"/>
      <c r="AB134" s="220"/>
      <c r="AC134" s="220"/>
      <c r="AD134" s="220"/>
      <c r="AE134" s="220"/>
      <c r="AF134" s="15"/>
      <c r="AG134" s="69"/>
    </row>
    <row r="135" spans="2:33" ht="20.100000000000001" customHeight="1">
      <c r="B135" s="72"/>
      <c r="C135" s="117">
        <v>18</v>
      </c>
      <c r="D135" s="171"/>
      <c r="E135" s="173"/>
      <c r="F135" s="205"/>
      <c r="G135" s="205"/>
      <c r="H135" s="205"/>
      <c r="I135" s="205"/>
      <c r="J135" s="205"/>
      <c r="K135" s="205"/>
      <c r="L135" s="205"/>
      <c r="M135" s="205"/>
      <c r="N135" s="171"/>
      <c r="O135" s="173"/>
      <c r="P135" s="171"/>
      <c r="Q135" s="172"/>
      <c r="R135" s="173"/>
      <c r="S135" s="171"/>
      <c r="T135" s="172"/>
      <c r="U135" s="173"/>
      <c r="V135" s="171"/>
      <c r="W135" s="172"/>
      <c r="X135" s="173"/>
      <c r="Y135" s="171"/>
      <c r="Z135" s="172"/>
      <c r="AA135" s="173"/>
      <c r="AB135" s="220"/>
      <c r="AC135" s="220"/>
      <c r="AD135" s="220"/>
      <c r="AE135" s="220"/>
      <c r="AF135" s="15"/>
      <c r="AG135" s="69"/>
    </row>
    <row r="136" spans="2:33" ht="20.100000000000001" customHeight="1">
      <c r="B136" s="72"/>
      <c r="C136" s="117">
        <v>19</v>
      </c>
      <c r="D136" s="171"/>
      <c r="E136" s="173"/>
      <c r="F136" s="205"/>
      <c r="G136" s="205"/>
      <c r="H136" s="205"/>
      <c r="I136" s="205"/>
      <c r="J136" s="205"/>
      <c r="K136" s="205"/>
      <c r="L136" s="205"/>
      <c r="M136" s="205"/>
      <c r="N136" s="171"/>
      <c r="O136" s="173"/>
      <c r="P136" s="171"/>
      <c r="Q136" s="172"/>
      <c r="R136" s="173"/>
      <c r="S136" s="171"/>
      <c r="T136" s="172"/>
      <c r="U136" s="173"/>
      <c r="V136" s="171"/>
      <c r="W136" s="172"/>
      <c r="X136" s="173"/>
      <c r="Y136" s="171"/>
      <c r="Z136" s="172"/>
      <c r="AA136" s="173"/>
      <c r="AB136" s="220"/>
      <c r="AC136" s="220"/>
      <c r="AD136" s="220"/>
      <c r="AE136" s="220"/>
      <c r="AF136" s="15"/>
      <c r="AG136" s="69"/>
    </row>
    <row r="137" spans="2:33" ht="20.100000000000001" customHeight="1">
      <c r="B137" s="72"/>
      <c r="C137" s="117">
        <v>20</v>
      </c>
      <c r="D137" s="171"/>
      <c r="E137" s="173"/>
      <c r="F137" s="205"/>
      <c r="G137" s="205"/>
      <c r="H137" s="205"/>
      <c r="I137" s="205"/>
      <c r="J137" s="205"/>
      <c r="K137" s="205"/>
      <c r="L137" s="205"/>
      <c r="M137" s="205"/>
      <c r="N137" s="171"/>
      <c r="O137" s="173"/>
      <c r="P137" s="171"/>
      <c r="Q137" s="172"/>
      <c r="R137" s="173"/>
      <c r="S137" s="171"/>
      <c r="T137" s="172"/>
      <c r="U137" s="173"/>
      <c r="V137" s="171"/>
      <c r="W137" s="172"/>
      <c r="X137" s="173"/>
      <c r="Y137" s="171"/>
      <c r="Z137" s="172"/>
      <c r="AA137" s="173"/>
      <c r="AB137" s="220"/>
      <c r="AC137" s="220"/>
      <c r="AD137" s="220"/>
      <c r="AE137" s="220"/>
      <c r="AF137" s="15"/>
      <c r="AG137" s="69"/>
    </row>
    <row r="138" spans="2:33" ht="20.100000000000001" customHeight="1">
      <c r="B138" s="72"/>
      <c r="C138" s="103" t="s">
        <v>148</v>
      </c>
      <c r="D138" s="228"/>
      <c r="E138" s="229"/>
      <c r="F138" s="229"/>
      <c r="G138" s="229"/>
      <c r="H138" s="229"/>
      <c r="I138" s="229"/>
      <c r="J138" s="229"/>
      <c r="K138" s="229"/>
      <c r="L138" s="229"/>
      <c r="M138" s="229"/>
      <c r="N138" s="229"/>
      <c r="O138" s="229"/>
      <c r="P138" s="229"/>
      <c r="Q138" s="229"/>
      <c r="R138" s="229"/>
      <c r="S138" s="229"/>
      <c r="T138" s="229"/>
      <c r="U138" s="230"/>
      <c r="V138" s="231">
        <f>IFERROR(SUM(V118:X137),"")</f>
        <v>0</v>
      </c>
      <c r="W138" s="232"/>
      <c r="X138" s="233"/>
      <c r="Y138" s="231">
        <f>IFERROR(SUM(Y118:AA137),"")</f>
        <v>0</v>
      </c>
      <c r="Z138" s="232"/>
      <c r="AA138" s="233"/>
      <c r="AB138" s="234"/>
      <c r="AC138" s="235"/>
      <c r="AD138" s="235"/>
      <c r="AE138" s="236"/>
      <c r="AF138" s="15"/>
      <c r="AG138" s="69"/>
    </row>
    <row r="139" spans="2:33" ht="15" customHeight="1">
      <c r="B139" s="72"/>
      <c r="C139" s="80" t="s">
        <v>49</v>
      </c>
      <c r="D139" s="2"/>
      <c r="E139" s="18"/>
      <c r="F139" s="42"/>
      <c r="G139" s="2"/>
      <c r="H139" s="44"/>
      <c r="I139" s="2"/>
      <c r="J139" s="44"/>
      <c r="K139" s="2"/>
      <c r="L139" s="44"/>
      <c r="M139" s="2"/>
      <c r="N139" s="44"/>
      <c r="O139" s="2"/>
      <c r="P139" s="44"/>
      <c r="Q139" s="2"/>
      <c r="R139" s="44"/>
      <c r="S139" s="2"/>
      <c r="T139" s="44"/>
      <c r="U139" s="2"/>
      <c r="V139" s="44"/>
      <c r="W139" s="2"/>
      <c r="X139" s="44"/>
      <c r="Y139" s="2"/>
      <c r="Z139" s="44"/>
      <c r="AA139" s="2"/>
      <c r="AB139" s="44"/>
      <c r="AC139" s="2"/>
      <c r="AD139" s="44"/>
      <c r="AE139" s="2"/>
      <c r="AF139" s="15"/>
      <c r="AG139" s="69"/>
    </row>
    <row r="140" spans="2:33" ht="15" customHeight="1">
      <c r="B140" s="72"/>
      <c r="C140" s="53" t="s">
        <v>50</v>
      </c>
      <c r="D140" s="46"/>
      <c r="E140" s="18"/>
      <c r="F140" s="42"/>
      <c r="G140" s="2"/>
      <c r="H140" s="44"/>
      <c r="I140" s="2"/>
      <c r="J140" s="44"/>
      <c r="K140" s="2"/>
      <c r="L140" s="44"/>
      <c r="M140" s="2"/>
      <c r="N140" s="44"/>
      <c r="O140" s="2"/>
      <c r="P140" s="44"/>
      <c r="Q140" s="2"/>
      <c r="R140" s="44"/>
      <c r="S140" s="2"/>
      <c r="T140" s="44"/>
      <c r="U140" s="2"/>
      <c r="V140" s="44"/>
      <c r="W140" s="2"/>
      <c r="X140" s="44"/>
      <c r="Y140" s="2"/>
      <c r="Z140" s="44"/>
      <c r="AA140" s="2"/>
      <c r="AB140" s="44"/>
      <c r="AC140" s="2"/>
      <c r="AD140" s="44"/>
      <c r="AE140" s="2"/>
      <c r="AF140" s="15"/>
      <c r="AG140" s="69"/>
    </row>
    <row r="141" spans="2:33" ht="15" customHeight="1">
      <c r="B141" s="72"/>
      <c r="C141" s="53" t="s">
        <v>51</v>
      </c>
      <c r="D141" s="54"/>
      <c r="E141" s="54"/>
      <c r="F141" s="54"/>
      <c r="G141" s="54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44"/>
      <c r="Y141" s="2"/>
      <c r="Z141" s="44"/>
      <c r="AA141" s="2"/>
      <c r="AB141" s="44"/>
      <c r="AC141" s="2"/>
      <c r="AD141" s="44"/>
      <c r="AE141" s="2"/>
      <c r="AF141" s="15"/>
      <c r="AG141" s="69"/>
    </row>
    <row r="142" spans="2:33" ht="9.9499999999999993" customHeight="1">
      <c r="B142" s="72"/>
      <c r="C142" s="53"/>
      <c r="D142" s="54"/>
      <c r="E142" s="54"/>
      <c r="F142" s="54"/>
      <c r="G142" s="54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44"/>
      <c r="Y142" s="2"/>
      <c r="Z142" s="44"/>
      <c r="AA142" s="2"/>
      <c r="AB142" s="44"/>
      <c r="AC142" s="2"/>
      <c r="AD142" s="44"/>
      <c r="AE142" s="2"/>
      <c r="AF142" s="15"/>
      <c r="AG142" s="69"/>
    </row>
    <row r="143" spans="2:33" ht="20.100000000000001" customHeight="1">
      <c r="B143" s="72"/>
      <c r="C143" s="183" t="s">
        <v>13</v>
      </c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  <c r="AA143" s="183"/>
      <c r="AB143" s="183"/>
      <c r="AC143" s="183"/>
      <c r="AD143" s="183"/>
      <c r="AE143" s="183"/>
      <c r="AF143" s="15"/>
      <c r="AG143" s="69"/>
    </row>
    <row r="144" spans="2:33" ht="30" customHeight="1">
      <c r="B144" s="72"/>
      <c r="C144" s="118" t="s">
        <v>221</v>
      </c>
      <c r="D144" s="215" t="s">
        <v>117</v>
      </c>
      <c r="E144" s="216"/>
      <c r="F144" s="237" t="s">
        <v>122</v>
      </c>
      <c r="G144" s="237"/>
      <c r="H144" s="237"/>
      <c r="I144" s="238" t="s">
        <v>121</v>
      </c>
      <c r="J144" s="238"/>
      <c r="K144" s="238"/>
      <c r="L144" s="239" t="s">
        <v>128</v>
      </c>
      <c r="M144" s="240"/>
      <c r="N144" s="238" t="s">
        <v>126</v>
      </c>
      <c r="O144" s="238"/>
      <c r="P144" s="238"/>
      <c r="Q144" s="238" t="s">
        <v>129</v>
      </c>
      <c r="R144" s="238"/>
      <c r="S144" s="238"/>
      <c r="T144" s="239" t="s">
        <v>127</v>
      </c>
      <c r="U144" s="240"/>
      <c r="V144" s="240"/>
      <c r="W144" s="242"/>
      <c r="X144" s="239" t="s">
        <v>120</v>
      </c>
      <c r="Y144" s="240"/>
      <c r="Z144" s="240"/>
      <c r="AA144" s="242"/>
      <c r="AB144" s="239" t="s">
        <v>119</v>
      </c>
      <c r="AC144" s="240"/>
      <c r="AD144" s="240"/>
      <c r="AE144" s="242"/>
      <c r="AF144" s="15"/>
      <c r="AG144" s="69"/>
    </row>
    <row r="145" spans="2:33" ht="20.100000000000001" customHeight="1">
      <c r="B145" s="72"/>
      <c r="C145" s="117">
        <v>1</v>
      </c>
      <c r="D145" s="171"/>
      <c r="E145" s="173"/>
      <c r="F145" s="205"/>
      <c r="G145" s="205"/>
      <c r="H145" s="205"/>
      <c r="I145" s="205"/>
      <c r="J145" s="205"/>
      <c r="K145" s="205"/>
      <c r="L145" s="171"/>
      <c r="M145" s="173"/>
      <c r="N145" s="205"/>
      <c r="O145" s="205"/>
      <c r="P145" s="205"/>
      <c r="Q145" s="205"/>
      <c r="R145" s="205"/>
      <c r="S145" s="205"/>
      <c r="T145" s="171"/>
      <c r="U145" s="172"/>
      <c r="V145" s="172"/>
      <c r="W145" s="172"/>
      <c r="X145" s="171"/>
      <c r="Y145" s="172"/>
      <c r="Z145" s="172"/>
      <c r="AA145" s="172"/>
      <c r="AB145" s="241">
        <f>T145*X145</f>
        <v>0</v>
      </c>
      <c r="AC145" s="241"/>
      <c r="AD145" s="241"/>
      <c r="AE145" s="241"/>
      <c r="AF145" s="15"/>
      <c r="AG145" s="69"/>
    </row>
    <row r="146" spans="2:33" ht="20.100000000000001" customHeight="1">
      <c r="B146" s="72"/>
      <c r="C146" s="117">
        <v>2</v>
      </c>
      <c r="D146" s="143"/>
      <c r="E146" s="144"/>
      <c r="F146" s="205"/>
      <c r="G146" s="205"/>
      <c r="H146" s="205"/>
      <c r="I146" s="205"/>
      <c r="J146" s="205"/>
      <c r="K146" s="205"/>
      <c r="L146" s="171"/>
      <c r="M146" s="173"/>
      <c r="N146" s="205"/>
      <c r="O146" s="205"/>
      <c r="P146" s="205"/>
      <c r="Q146" s="205"/>
      <c r="R146" s="205"/>
      <c r="S146" s="205"/>
      <c r="T146" s="171"/>
      <c r="U146" s="172"/>
      <c r="V146" s="172"/>
      <c r="W146" s="172"/>
      <c r="X146" s="171"/>
      <c r="Y146" s="172"/>
      <c r="Z146" s="172"/>
      <c r="AA146" s="172"/>
      <c r="AB146" s="241">
        <f t="shared" ref="AB146:AB154" si="1">T146*X146</f>
        <v>0</v>
      </c>
      <c r="AC146" s="241"/>
      <c r="AD146" s="241"/>
      <c r="AE146" s="241"/>
      <c r="AF146" s="15"/>
      <c r="AG146" s="69"/>
    </row>
    <row r="147" spans="2:33" ht="20.100000000000001" customHeight="1">
      <c r="B147" s="72"/>
      <c r="C147" s="117">
        <v>3</v>
      </c>
      <c r="D147" s="143"/>
      <c r="E147" s="144"/>
      <c r="F147" s="205"/>
      <c r="G147" s="205"/>
      <c r="H147" s="205"/>
      <c r="I147" s="205"/>
      <c r="J147" s="205"/>
      <c r="K147" s="205"/>
      <c r="L147" s="171"/>
      <c r="M147" s="173"/>
      <c r="N147" s="205"/>
      <c r="O147" s="205"/>
      <c r="P147" s="205"/>
      <c r="Q147" s="205"/>
      <c r="R147" s="205"/>
      <c r="S147" s="205"/>
      <c r="T147" s="171"/>
      <c r="U147" s="172"/>
      <c r="V147" s="172"/>
      <c r="W147" s="172"/>
      <c r="X147" s="171"/>
      <c r="Y147" s="172"/>
      <c r="Z147" s="172"/>
      <c r="AA147" s="172"/>
      <c r="AB147" s="241">
        <f t="shared" si="1"/>
        <v>0</v>
      </c>
      <c r="AC147" s="241"/>
      <c r="AD147" s="241"/>
      <c r="AE147" s="241"/>
      <c r="AF147" s="15"/>
      <c r="AG147" s="69"/>
    </row>
    <row r="148" spans="2:33" ht="20.100000000000001" customHeight="1">
      <c r="B148" s="72"/>
      <c r="C148" s="117">
        <v>4</v>
      </c>
      <c r="D148" s="143"/>
      <c r="E148" s="144"/>
      <c r="F148" s="205"/>
      <c r="G148" s="205"/>
      <c r="H148" s="205"/>
      <c r="I148" s="205"/>
      <c r="J148" s="205"/>
      <c r="K148" s="205"/>
      <c r="L148" s="171"/>
      <c r="M148" s="173"/>
      <c r="N148" s="205"/>
      <c r="O148" s="205"/>
      <c r="P148" s="205"/>
      <c r="Q148" s="205"/>
      <c r="R148" s="205"/>
      <c r="S148" s="205"/>
      <c r="T148" s="171"/>
      <c r="U148" s="172"/>
      <c r="V148" s="172"/>
      <c r="W148" s="172"/>
      <c r="X148" s="171"/>
      <c r="Y148" s="172"/>
      <c r="Z148" s="172"/>
      <c r="AA148" s="172"/>
      <c r="AB148" s="241">
        <f t="shared" si="1"/>
        <v>0</v>
      </c>
      <c r="AC148" s="241"/>
      <c r="AD148" s="241"/>
      <c r="AE148" s="241"/>
      <c r="AF148" s="15"/>
      <c r="AG148" s="69"/>
    </row>
    <row r="149" spans="2:33" ht="20.100000000000001" customHeight="1">
      <c r="B149" s="72"/>
      <c r="C149" s="117">
        <v>5</v>
      </c>
      <c r="D149" s="143"/>
      <c r="E149" s="144"/>
      <c r="F149" s="205"/>
      <c r="G149" s="205"/>
      <c r="H149" s="205"/>
      <c r="I149" s="205"/>
      <c r="J149" s="205"/>
      <c r="K149" s="205"/>
      <c r="L149" s="171"/>
      <c r="M149" s="173"/>
      <c r="N149" s="205"/>
      <c r="O149" s="205"/>
      <c r="P149" s="205"/>
      <c r="Q149" s="205"/>
      <c r="R149" s="205"/>
      <c r="S149" s="205"/>
      <c r="T149" s="171"/>
      <c r="U149" s="172"/>
      <c r="V149" s="172"/>
      <c r="W149" s="172"/>
      <c r="X149" s="171"/>
      <c r="Y149" s="172"/>
      <c r="Z149" s="172"/>
      <c r="AA149" s="172"/>
      <c r="AB149" s="241">
        <f t="shared" si="1"/>
        <v>0</v>
      </c>
      <c r="AC149" s="241"/>
      <c r="AD149" s="241"/>
      <c r="AE149" s="241"/>
      <c r="AF149" s="15"/>
      <c r="AG149" s="69"/>
    </row>
    <row r="150" spans="2:33" ht="20.100000000000001" customHeight="1">
      <c r="B150" s="72"/>
      <c r="C150" s="117">
        <v>6</v>
      </c>
      <c r="D150" s="143"/>
      <c r="E150" s="144"/>
      <c r="F150" s="205"/>
      <c r="G150" s="205"/>
      <c r="H150" s="205"/>
      <c r="I150" s="205"/>
      <c r="J150" s="205"/>
      <c r="K150" s="205"/>
      <c r="L150" s="171"/>
      <c r="M150" s="173"/>
      <c r="N150" s="205"/>
      <c r="O150" s="205"/>
      <c r="P150" s="205"/>
      <c r="Q150" s="205"/>
      <c r="R150" s="205"/>
      <c r="S150" s="205"/>
      <c r="T150" s="171"/>
      <c r="U150" s="172"/>
      <c r="V150" s="172"/>
      <c r="W150" s="172"/>
      <c r="X150" s="171"/>
      <c r="Y150" s="172"/>
      <c r="Z150" s="172"/>
      <c r="AA150" s="172"/>
      <c r="AB150" s="241">
        <f t="shared" si="1"/>
        <v>0</v>
      </c>
      <c r="AC150" s="241"/>
      <c r="AD150" s="241"/>
      <c r="AE150" s="241"/>
      <c r="AF150" s="15"/>
      <c r="AG150" s="69"/>
    </row>
    <row r="151" spans="2:33" ht="20.100000000000001" customHeight="1">
      <c r="B151" s="72"/>
      <c r="C151" s="117">
        <v>7</v>
      </c>
      <c r="D151" s="171"/>
      <c r="E151" s="173"/>
      <c r="F151" s="205"/>
      <c r="G151" s="205"/>
      <c r="H151" s="205"/>
      <c r="I151" s="205"/>
      <c r="J151" s="205"/>
      <c r="K151" s="205"/>
      <c r="L151" s="171"/>
      <c r="M151" s="173"/>
      <c r="N151" s="205"/>
      <c r="O151" s="205"/>
      <c r="P151" s="205"/>
      <c r="Q151" s="205"/>
      <c r="R151" s="205"/>
      <c r="S151" s="205"/>
      <c r="T151" s="171"/>
      <c r="U151" s="172"/>
      <c r="V151" s="172"/>
      <c r="W151" s="172"/>
      <c r="X151" s="171"/>
      <c r="Y151" s="172"/>
      <c r="Z151" s="172"/>
      <c r="AA151" s="172"/>
      <c r="AB151" s="241">
        <f t="shared" si="1"/>
        <v>0</v>
      </c>
      <c r="AC151" s="241"/>
      <c r="AD151" s="241"/>
      <c r="AE151" s="241"/>
      <c r="AF151" s="15"/>
      <c r="AG151" s="69"/>
    </row>
    <row r="152" spans="2:33" ht="20.100000000000001" customHeight="1">
      <c r="B152" s="72"/>
      <c r="C152" s="117">
        <v>8</v>
      </c>
      <c r="D152" s="171"/>
      <c r="E152" s="173"/>
      <c r="F152" s="205"/>
      <c r="G152" s="205"/>
      <c r="H152" s="205"/>
      <c r="I152" s="205"/>
      <c r="J152" s="205"/>
      <c r="K152" s="205"/>
      <c r="L152" s="171"/>
      <c r="M152" s="173"/>
      <c r="N152" s="205"/>
      <c r="O152" s="205"/>
      <c r="P152" s="205"/>
      <c r="Q152" s="205"/>
      <c r="R152" s="205"/>
      <c r="S152" s="205"/>
      <c r="T152" s="171"/>
      <c r="U152" s="172"/>
      <c r="V152" s="172"/>
      <c r="W152" s="172"/>
      <c r="X152" s="171"/>
      <c r="Y152" s="172"/>
      <c r="Z152" s="172"/>
      <c r="AA152" s="172"/>
      <c r="AB152" s="241">
        <f t="shared" si="1"/>
        <v>0</v>
      </c>
      <c r="AC152" s="241"/>
      <c r="AD152" s="241"/>
      <c r="AE152" s="241"/>
      <c r="AF152" s="15"/>
      <c r="AG152" s="69"/>
    </row>
    <row r="153" spans="2:33" ht="20.100000000000001" customHeight="1">
      <c r="B153" s="72"/>
      <c r="C153" s="117">
        <v>9</v>
      </c>
      <c r="D153" s="171"/>
      <c r="E153" s="173"/>
      <c r="F153" s="205"/>
      <c r="G153" s="205"/>
      <c r="H153" s="205"/>
      <c r="I153" s="205"/>
      <c r="J153" s="205"/>
      <c r="K153" s="205"/>
      <c r="L153" s="171"/>
      <c r="M153" s="173"/>
      <c r="N153" s="205"/>
      <c r="O153" s="205"/>
      <c r="P153" s="205"/>
      <c r="Q153" s="205"/>
      <c r="R153" s="205"/>
      <c r="S153" s="205"/>
      <c r="T153" s="171"/>
      <c r="U153" s="172"/>
      <c r="V153" s="172"/>
      <c r="W153" s="172"/>
      <c r="X153" s="171"/>
      <c r="Y153" s="172"/>
      <c r="Z153" s="172"/>
      <c r="AA153" s="172"/>
      <c r="AB153" s="241">
        <f t="shared" si="1"/>
        <v>0</v>
      </c>
      <c r="AC153" s="241"/>
      <c r="AD153" s="241"/>
      <c r="AE153" s="241"/>
      <c r="AF153" s="15"/>
      <c r="AG153" s="69"/>
    </row>
    <row r="154" spans="2:33" ht="20.100000000000001" customHeight="1">
      <c r="B154" s="72"/>
      <c r="C154" s="117">
        <v>10</v>
      </c>
      <c r="D154" s="171"/>
      <c r="E154" s="173"/>
      <c r="F154" s="205"/>
      <c r="G154" s="205"/>
      <c r="H154" s="205"/>
      <c r="I154" s="205"/>
      <c r="J154" s="205"/>
      <c r="K154" s="205"/>
      <c r="L154" s="171"/>
      <c r="M154" s="173"/>
      <c r="N154" s="205"/>
      <c r="O154" s="205"/>
      <c r="P154" s="205"/>
      <c r="Q154" s="205"/>
      <c r="R154" s="205"/>
      <c r="S154" s="205"/>
      <c r="T154" s="171"/>
      <c r="U154" s="172"/>
      <c r="V154" s="172"/>
      <c r="W154" s="172"/>
      <c r="X154" s="171"/>
      <c r="Y154" s="172"/>
      <c r="Z154" s="172"/>
      <c r="AA154" s="172"/>
      <c r="AB154" s="241">
        <f t="shared" si="1"/>
        <v>0</v>
      </c>
      <c r="AC154" s="241"/>
      <c r="AD154" s="241"/>
      <c r="AE154" s="241"/>
      <c r="AF154" s="15"/>
      <c r="AG154" s="69"/>
    </row>
    <row r="155" spans="2:33" ht="20.100000000000001" customHeight="1">
      <c r="B155" s="72"/>
      <c r="C155" s="103" t="s">
        <v>148</v>
      </c>
      <c r="D155" s="228"/>
      <c r="E155" s="229"/>
      <c r="F155" s="229"/>
      <c r="G155" s="229"/>
      <c r="H155" s="229"/>
      <c r="I155" s="229"/>
      <c r="J155" s="229"/>
      <c r="K155" s="229"/>
      <c r="L155" s="229"/>
      <c r="M155" s="230"/>
      <c r="N155" s="249">
        <f>IFERROR(SUM(N145:P154),"")</f>
        <v>0</v>
      </c>
      <c r="O155" s="249"/>
      <c r="P155" s="249"/>
      <c r="Q155" s="250"/>
      <c r="R155" s="250"/>
      <c r="S155" s="250"/>
      <c r="T155" s="231">
        <f>IFERROR(SUM(T145:W154),"")</f>
        <v>0</v>
      </c>
      <c r="U155" s="232"/>
      <c r="V155" s="232"/>
      <c r="W155" s="232"/>
      <c r="X155" s="228"/>
      <c r="Y155" s="229"/>
      <c r="Z155" s="229"/>
      <c r="AA155" s="229"/>
      <c r="AB155" s="249">
        <f>IFERROR(SUM(AB145:AE154),"")</f>
        <v>0</v>
      </c>
      <c r="AC155" s="249"/>
      <c r="AD155" s="249"/>
      <c r="AE155" s="249"/>
      <c r="AF155" s="15"/>
      <c r="AG155" s="69"/>
    </row>
    <row r="156" spans="2:33" ht="9.9499999999999993" customHeight="1">
      <c r="B156" s="72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15"/>
      <c r="AG156" s="69"/>
    </row>
    <row r="157" spans="2:33" ht="20.100000000000001" customHeight="1">
      <c r="B157" s="72"/>
      <c r="C157" s="183" t="s">
        <v>143</v>
      </c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  <c r="AA157" s="183"/>
      <c r="AB157" s="183"/>
      <c r="AC157" s="183"/>
      <c r="AD157" s="183"/>
      <c r="AE157" s="183"/>
      <c r="AF157" s="15"/>
      <c r="AG157" s="69"/>
    </row>
    <row r="158" spans="2:33" ht="20.100000000000001" customHeight="1">
      <c r="B158" s="72"/>
      <c r="C158" s="243" t="s">
        <v>15</v>
      </c>
      <c r="D158" s="244"/>
      <c r="E158" s="244"/>
      <c r="F158" s="244"/>
      <c r="G158" s="244"/>
      <c r="H158" s="245" t="s">
        <v>16</v>
      </c>
      <c r="I158" s="245"/>
      <c r="J158" s="245"/>
      <c r="K158" s="245"/>
      <c r="L158" s="245"/>
      <c r="M158" s="245"/>
      <c r="N158" s="245"/>
      <c r="O158" s="245" t="s">
        <v>17</v>
      </c>
      <c r="P158" s="245"/>
      <c r="Q158" s="246" t="s">
        <v>18</v>
      </c>
      <c r="R158" s="247"/>
      <c r="S158" s="247"/>
      <c r="T158" s="248"/>
      <c r="U158" s="245" t="s">
        <v>14</v>
      </c>
      <c r="V158" s="245"/>
      <c r="W158" s="245"/>
      <c r="X158" s="245"/>
      <c r="Y158" s="245"/>
      <c r="Z158" s="245"/>
      <c r="AA158" s="245"/>
      <c r="AB158" s="245"/>
      <c r="AC158" s="245"/>
      <c r="AD158" s="245"/>
      <c r="AE158" s="245"/>
      <c r="AF158" s="15"/>
      <c r="AG158" s="69"/>
    </row>
    <row r="159" spans="2:33" ht="20.100000000000001" customHeight="1">
      <c r="B159" s="72"/>
      <c r="C159" s="251" t="s">
        <v>111</v>
      </c>
      <c r="D159" s="252"/>
      <c r="E159" s="252"/>
      <c r="F159" s="252"/>
      <c r="G159" s="252"/>
      <c r="H159" s="205"/>
      <c r="I159" s="205"/>
      <c r="J159" s="205"/>
      <c r="K159" s="205"/>
      <c r="L159" s="205"/>
      <c r="M159" s="205"/>
      <c r="N159" s="205"/>
      <c r="O159" s="253"/>
      <c r="P159" s="253"/>
      <c r="Q159" s="171"/>
      <c r="R159" s="172"/>
      <c r="S159" s="172"/>
      <c r="T159" s="17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15"/>
      <c r="AG159" s="69"/>
    </row>
    <row r="160" spans="2:33" ht="20.100000000000001" customHeight="1">
      <c r="B160" s="72"/>
      <c r="C160" s="251" t="s">
        <v>112</v>
      </c>
      <c r="D160" s="252"/>
      <c r="E160" s="252"/>
      <c r="F160" s="252"/>
      <c r="G160" s="252"/>
      <c r="H160" s="205"/>
      <c r="I160" s="205"/>
      <c r="J160" s="205"/>
      <c r="K160" s="205"/>
      <c r="L160" s="205"/>
      <c r="M160" s="205"/>
      <c r="N160" s="205"/>
      <c r="O160" s="253"/>
      <c r="P160" s="253"/>
      <c r="Q160" s="171"/>
      <c r="R160" s="172"/>
      <c r="S160" s="172"/>
      <c r="T160" s="173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15"/>
      <c r="AG160" s="69"/>
    </row>
    <row r="161" spans="2:33" ht="20.100000000000001" customHeight="1">
      <c r="B161" s="72"/>
      <c r="C161" s="251" t="s">
        <v>116</v>
      </c>
      <c r="D161" s="252"/>
      <c r="E161" s="252"/>
      <c r="F161" s="252"/>
      <c r="G161" s="252"/>
      <c r="H161" s="205"/>
      <c r="I161" s="205"/>
      <c r="J161" s="205"/>
      <c r="K161" s="205"/>
      <c r="L161" s="205"/>
      <c r="M161" s="205"/>
      <c r="N161" s="205"/>
      <c r="O161" s="253"/>
      <c r="P161" s="253"/>
      <c r="Q161" s="171"/>
      <c r="R161" s="172"/>
      <c r="S161" s="172"/>
      <c r="T161" s="173"/>
      <c r="U161" s="254"/>
      <c r="V161" s="254"/>
      <c r="W161" s="254"/>
      <c r="X161" s="254"/>
      <c r="Y161" s="254"/>
      <c r="Z161" s="254"/>
      <c r="AA161" s="254"/>
      <c r="AB161" s="254"/>
      <c r="AC161" s="254"/>
      <c r="AD161" s="254"/>
      <c r="AE161" s="254"/>
      <c r="AF161" s="15"/>
      <c r="AG161" s="69"/>
    </row>
    <row r="162" spans="2:33" ht="20.100000000000001" customHeight="1">
      <c r="B162" s="72"/>
      <c r="C162" s="251" t="s">
        <v>19</v>
      </c>
      <c r="D162" s="252"/>
      <c r="E162" s="252"/>
      <c r="F162" s="252"/>
      <c r="G162" s="252"/>
      <c r="H162" s="255"/>
      <c r="I162" s="255"/>
      <c r="J162" s="255"/>
      <c r="K162" s="255"/>
      <c r="L162" s="255"/>
      <c r="M162" s="255"/>
      <c r="N162" s="255"/>
      <c r="O162" s="256" t="s">
        <v>58</v>
      </c>
      <c r="P162" s="256"/>
      <c r="Q162" s="171"/>
      <c r="R162" s="172"/>
      <c r="S162" s="172"/>
      <c r="T162" s="173"/>
      <c r="U162" s="254"/>
      <c r="V162" s="254"/>
      <c r="W162" s="254"/>
      <c r="X162" s="254"/>
      <c r="Y162" s="254"/>
      <c r="Z162" s="254"/>
      <c r="AA162" s="254"/>
      <c r="AB162" s="254"/>
      <c r="AC162" s="254"/>
      <c r="AD162" s="254"/>
      <c r="AE162" s="254"/>
      <c r="AF162" s="15"/>
      <c r="AG162" s="69"/>
    </row>
    <row r="163" spans="2:33" ht="20.100000000000001" customHeight="1">
      <c r="B163" s="72"/>
      <c r="C163" s="251" t="s">
        <v>20</v>
      </c>
      <c r="D163" s="252"/>
      <c r="E163" s="252"/>
      <c r="F163" s="252"/>
      <c r="G163" s="252"/>
      <c r="H163" s="257">
        <f>H162*H171</f>
        <v>0</v>
      </c>
      <c r="I163" s="257"/>
      <c r="J163" s="257"/>
      <c r="K163" s="257"/>
      <c r="L163" s="257"/>
      <c r="M163" s="257"/>
      <c r="N163" s="257"/>
      <c r="O163" s="256" t="s">
        <v>209</v>
      </c>
      <c r="P163" s="256"/>
      <c r="Q163" s="171"/>
      <c r="R163" s="172"/>
      <c r="S163" s="172"/>
      <c r="T163" s="173"/>
      <c r="U163" s="254"/>
      <c r="V163" s="254"/>
      <c r="W163" s="254"/>
      <c r="X163" s="254"/>
      <c r="Y163" s="254"/>
      <c r="Z163" s="254"/>
      <c r="AA163" s="254"/>
      <c r="AB163" s="254"/>
      <c r="AC163" s="254"/>
      <c r="AD163" s="254"/>
      <c r="AE163" s="254"/>
      <c r="AF163" s="15"/>
      <c r="AG163" s="69"/>
    </row>
    <row r="164" spans="2:33" ht="20.100000000000001" customHeight="1">
      <c r="B164" s="72"/>
      <c r="C164" s="251" t="s">
        <v>21</v>
      </c>
      <c r="D164" s="252"/>
      <c r="E164" s="252"/>
      <c r="F164" s="252"/>
      <c r="G164" s="252"/>
      <c r="H164" s="205"/>
      <c r="I164" s="205"/>
      <c r="J164" s="205"/>
      <c r="K164" s="205"/>
      <c r="L164" s="205"/>
      <c r="M164" s="205"/>
      <c r="N164" s="205"/>
      <c r="O164" s="256" t="s">
        <v>22</v>
      </c>
      <c r="P164" s="256"/>
      <c r="Q164" s="171"/>
      <c r="R164" s="172"/>
      <c r="S164" s="172"/>
      <c r="T164" s="173"/>
      <c r="U164" s="254"/>
      <c r="V164" s="254"/>
      <c r="W164" s="254"/>
      <c r="X164" s="254"/>
      <c r="Y164" s="254"/>
      <c r="Z164" s="254"/>
      <c r="AA164" s="254"/>
      <c r="AB164" s="254"/>
      <c r="AC164" s="254"/>
      <c r="AD164" s="254"/>
      <c r="AE164" s="254"/>
      <c r="AF164" s="15"/>
      <c r="AG164" s="69"/>
    </row>
    <row r="165" spans="2:33" ht="20.100000000000001" customHeight="1">
      <c r="B165" s="72"/>
      <c r="C165" s="251" t="s">
        <v>23</v>
      </c>
      <c r="D165" s="252"/>
      <c r="E165" s="252"/>
      <c r="F165" s="252"/>
      <c r="G165" s="252"/>
      <c r="H165" s="205"/>
      <c r="I165" s="205"/>
      <c r="J165" s="205"/>
      <c r="K165" s="205"/>
      <c r="L165" s="205"/>
      <c r="M165" s="205"/>
      <c r="N165" s="205"/>
      <c r="O165" s="256" t="s">
        <v>24</v>
      </c>
      <c r="P165" s="256"/>
      <c r="Q165" s="171"/>
      <c r="R165" s="172"/>
      <c r="S165" s="172"/>
      <c r="T165" s="173"/>
      <c r="U165" s="254"/>
      <c r="V165" s="254"/>
      <c r="W165" s="254"/>
      <c r="X165" s="254"/>
      <c r="Y165" s="254"/>
      <c r="Z165" s="254"/>
      <c r="AA165" s="254"/>
      <c r="AB165" s="254"/>
      <c r="AC165" s="254"/>
      <c r="AD165" s="254"/>
      <c r="AE165" s="254"/>
      <c r="AF165" s="15"/>
      <c r="AG165" s="69"/>
    </row>
    <row r="166" spans="2:33" ht="20.100000000000001" customHeight="1">
      <c r="B166" s="72"/>
      <c r="C166" s="251" t="s">
        <v>25</v>
      </c>
      <c r="D166" s="252"/>
      <c r="E166" s="252"/>
      <c r="F166" s="252"/>
      <c r="G166" s="252"/>
      <c r="H166" s="205"/>
      <c r="I166" s="205"/>
      <c r="J166" s="205"/>
      <c r="K166" s="205"/>
      <c r="L166" s="205"/>
      <c r="M166" s="205"/>
      <c r="N166" s="205"/>
      <c r="O166" s="256" t="s">
        <v>26</v>
      </c>
      <c r="P166" s="256"/>
      <c r="Q166" s="171"/>
      <c r="R166" s="172"/>
      <c r="S166" s="172"/>
      <c r="T166" s="173"/>
      <c r="U166" s="254"/>
      <c r="V166" s="254"/>
      <c r="W166" s="254"/>
      <c r="X166" s="254"/>
      <c r="Y166" s="254"/>
      <c r="Z166" s="254"/>
      <c r="AA166" s="254"/>
      <c r="AB166" s="254"/>
      <c r="AC166" s="254"/>
      <c r="AD166" s="254"/>
      <c r="AE166" s="254"/>
      <c r="AF166" s="15"/>
      <c r="AG166" s="69"/>
    </row>
    <row r="167" spans="2:33" ht="20.100000000000001" customHeight="1">
      <c r="B167" s="72"/>
      <c r="C167" s="251" t="s">
        <v>27</v>
      </c>
      <c r="D167" s="252"/>
      <c r="E167" s="252"/>
      <c r="F167" s="252"/>
      <c r="G167" s="252"/>
      <c r="H167" s="205"/>
      <c r="I167" s="205"/>
      <c r="J167" s="205"/>
      <c r="K167" s="205"/>
      <c r="L167" s="205"/>
      <c r="M167" s="205"/>
      <c r="N167" s="205"/>
      <c r="O167" s="256" t="s">
        <v>28</v>
      </c>
      <c r="P167" s="256"/>
      <c r="Q167" s="171"/>
      <c r="R167" s="172"/>
      <c r="S167" s="172"/>
      <c r="T167" s="173"/>
      <c r="U167" s="254"/>
      <c r="V167" s="254"/>
      <c r="W167" s="254"/>
      <c r="X167" s="254"/>
      <c r="Y167" s="254"/>
      <c r="Z167" s="254"/>
      <c r="AA167" s="254"/>
      <c r="AB167" s="254"/>
      <c r="AC167" s="254"/>
      <c r="AD167" s="254"/>
      <c r="AE167" s="254"/>
      <c r="AF167" s="15"/>
      <c r="AG167" s="69"/>
    </row>
    <row r="168" spans="2:33" ht="20.100000000000001" customHeight="1">
      <c r="B168" s="72"/>
      <c r="C168" s="251" t="s">
        <v>29</v>
      </c>
      <c r="D168" s="252"/>
      <c r="E168" s="252"/>
      <c r="F168" s="252"/>
      <c r="G168" s="252"/>
      <c r="H168" s="205"/>
      <c r="I168" s="205"/>
      <c r="J168" s="205"/>
      <c r="K168" s="205"/>
      <c r="L168" s="205"/>
      <c r="M168" s="205"/>
      <c r="N168" s="205"/>
      <c r="O168" s="253"/>
      <c r="P168" s="253"/>
      <c r="Q168" s="171"/>
      <c r="R168" s="172"/>
      <c r="S168" s="172"/>
      <c r="T168" s="173"/>
      <c r="U168" s="254"/>
      <c r="V168" s="254"/>
      <c r="W168" s="254"/>
      <c r="X168" s="254"/>
      <c r="Y168" s="254"/>
      <c r="Z168" s="254"/>
      <c r="AA168" s="254"/>
      <c r="AB168" s="254"/>
      <c r="AC168" s="254"/>
      <c r="AD168" s="254"/>
      <c r="AE168" s="254"/>
      <c r="AF168" s="15"/>
      <c r="AG168" s="69"/>
    </row>
    <row r="169" spans="2:33" ht="20.100000000000001" customHeight="1">
      <c r="B169" s="72"/>
      <c r="C169" s="251" t="s">
        <v>30</v>
      </c>
      <c r="D169" s="252"/>
      <c r="E169" s="252"/>
      <c r="F169" s="252"/>
      <c r="G169" s="252"/>
      <c r="H169" s="205"/>
      <c r="I169" s="205"/>
      <c r="J169" s="205"/>
      <c r="K169" s="205"/>
      <c r="L169" s="205"/>
      <c r="M169" s="205"/>
      <c r="N169" s="205"/>
      <c r="O169" s="253"/>
      <c r="P169" s="253"/>
      <c r="Q169" s="171"/>
      <c r="R169" s="172"/>
      <c r="S169" s="172"/>
      <c r="T169" s="173"/>
      <c r="U169" s="254"/>
      <c r="V169" s="254"/>
      <c r="W169" s="254"/>
      <c r="X169" s="254"/>
      <c r="Y169" s="254"/>
      <c r="Z169" s="254"/>
      <c r="AA169" s="254"/>
      <c r="AB169" s="254"/>
      <c r="AC169" s="254"/>
      <c r="AD169" s="254"/>
      <c r="AE169" s="254"/>
      <c r="AF169" s="15"/>
      <c r="AG169" s="69"/>
    </row>
    <row r="170" spans="2:33" ht="20.100000000000001" customHeight="1">
      <c r="B170" s="72"/>
      <c r="C170" s="251" t="s">
        <v>31</v>
      </c>
      <c r="D170" s="252"/>
      <c r="E170" s="252"/>
      <c r="F170" s="252"/>
      <c r="G170" s="252"/>
      <c r="H170" s="205"/>
      <c r="I170" s="205"/>
      <c r="J170" s="205"/>
      <c r="K170" s="205"/>
      <c r="L170" s="205"/>
      <c r="M170" s="205"/>
      <c r="N170" s="205"/>
      <c r="O170" s="253"/>
      <c r="P170" s="253"/>
      <c r="Q170" s="171"/>
      <c r="R170" s="172"/>
      <c r="S170" s="172"/>
      <c r="T170" s="173"/>
      <c r="U170" s="254"/>
      <c r="V170" s="254"/>
      <c r="W170" s="254"/>
      <c r="X170" s="254"/>
      <c r="Y170" s="254"/>
      <c r="Z170" s="254"/>
      <c r="AA170" s="254"/>
      <c r="AB170" s="254"/>
      <c r="AC170" s="254"/>
      <c r="AD170" s="254"/>
      <c r="AE170" s="254"/>
      <c r="AF170" s="15"/>
      <c r="AG170" s="69"/>
    </row>
    <row r="171" spans="2:33" ht="20.100000000000001" customHeight="1">
      <c r="B171" s="72"/>
      <c r="C171" s="251" t="s">
        <v>113</v>
      </c>
      <c r="D171" s="252"/>
      <c r="E171" s="252"/>
      <c r="F171" s="252"/>
      <c r="G171" s="252"/>
      <c r="H171" s="259"/>
      <c r="I171" s="259"/>
      <c r="J171" s="259"/>
      <c r="K171" s="259"/>
      <c r="L171" s="259"/>
      <c r="M171" s="259"/>
      <c r="N171" s="259"/>
      <c r="O171" s="253"/>
      <c r="P171" s="253"/>
      <c r="Q171" s="171"/>
      <c r="R171" s="172"/>
      <c r="S171" s="172"/>
      <c r="T171" s="173"/>
      <c r="U171" s="254"/>
      <c r="V171" s="254"/>
      <c r="W171" s="254"/>
      <c r="X171" s="254"/>
      <c r="Y171" s="254"/>
      <c r="Z171" s="254"/>
      <c r="AA171" s="254"/>
      <c r="AB171" s="254"/>
      <c r="AC171" s="254"/>
      <c r="AD171" s="254"/>
      <c r="AE171" s="254"/>
      <c r="AF171" s="15"/>
      <c r="AG171" s="69"/>
    </row>
    <row r="172" spans="2:33" ht="20.100000000000001" customHeight="1">
      <c r="B172" s="72"/>
      <c r="C172" s="53" t="s">
        <v>32</v>
      </c>
      <c r="D172" s="54"/>
      <c r="E172" s="54"/>
      <c r="F172" s="54"/>
      <c r="G172" s="54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6"/>
      <c r="Y172" s="56"/>
      <c r="Z172" s="56"/>
      <c r="AA172" s="56"/>
      <c r="AB172" s="56"/>
      <c r="AC172" s="56"/>
      <c r="AD172" s="56"/>
      <c r="AE172" s="56"/>
      <c r="AF172" s="15"/>
      <c r="AG172" s="69"/>
    </row>
    <row r="173" spans="2:33" ht="15" customHeight="1">
      <c r="B173" s="72"/>
      <c r="C173" s="53" t="s">
        <v>33</v>
      </c>
      <c r="D173" s="54"/>
      <c r="E173" s="54"/>
      <c r="F173" s="54"/>
      <c r="G173" s="54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6"/>
      <c r="Y173" s="56"/>
      <c r="Z173" s="56"/>
      <c r="AA173" s="56"/>
      <c r="AB173" s="56"/>
      <c r="AC173" s="56"/>
      <c r="AD173" s="56"/>
      <c r="AE173" s="56"/>
      <c r="AF173" s="15"/>
      <c r="AG173" s="69"/>
    </row>
    <row r="174" spans="2:33" ht="15" customHeight="1">
      <c r="B174" s="72"/>
      <c r="C174" s="55" t="s">
        <v>34</v>
      </c>
      <c r="D174" s="54"/>
      <c r="E174" s="54"/>
      <c r="F174" s="54"/>
      <c r="G174" s="54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6"/>
      <c r="Y174" s="56"/>
      <c r="Z174" s="56"/>
      <c r="AA174" s="56"/>
      <c r="AB174" s="56"/>
      <c r="AC174" s="56"/>
      <c r="AD174" s="56"/>
      <c r="AE174" s="56"/>
      <c r="AF174" s="15"/>
      <c r="AG174" s="69"/>
    </row>
    <row r="175" spans="2:33" ht="9.9499999999999993" customHeight="1" thickBot="1">
      <c r="B175" s="72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1"/>
      <c r="AG175" s="69"/>
    </row>
    <row r="176" spans="2:33" ht="9.9499999999999993" customHeight="1">
      <c r="B176" s="258"/>
      <c r="C176" s="258"/>
      <c r="D176" s="258"/>
      <c r="E176" s="258"/>
      <c r="F176" s="258"/>
      <c r="G176" s="258"/>
      <c r="H176" s="258"/>
      <c r="I176" s="258"/>
      <c r="J176" s="258"/>
      <c r="K176" s="258"/>
      <c r="L176" s="258"/>
      <c r="M176" s="258"/>
      <c r="N176" s="258"/>
      <c r="O176" s="258"/>
      <c r="P176" s="258"/>
      <c r="Q176" s="258"/>
      <c r="R176" s="258"/>
      <c r="S176" s="258"/>
      <c r="T176" s="258"/>
      <c r="U176" s="258"/>
      <c r="V176" s="258"/>
      <c r="W176" s="258"/>
      <c r="X176" s="258"/>
      <c r="Y176" s="258"/>
      <c r="Z176" s="258"/>
      <c r="AA176" s="258"/>
      <c r="AB176" s="258"/>
      <c r="AC176" s="258"/>
      <c r="AD176" s="258"/>
      <c r="AE176" s="258"/>
      <c r="AF176" s="258"/>
      <c r="AG176" s="69"/>
    </row>
  </sheetData>
  <sheetProtection algorithmName="SHA-512" hashValue="Y06GaFo88MDT8e6oobYqPpojP+hSIjX6hCfd+SbQq/TYAiSolmzJXHMTwpwKFhAE190tWnAbyi7LkW3FfSJ9ww==" saltValue="cWKDAySoHiFuntkBOBGn5A==" spinCount="100000" sheet="1" formatCells="0" formatRows="0" selectLockedCells="1"/>
  <mergeCells count="1153">
    <mergeCell ref="B176:AF176"/>
    <mergeCell ref="C171:G171"/>
    <mergeCell ref="H171:N171"/>
    <mergeCell ref="O171:P171"/>
    <mergeCell ref="Q171:T171"/>
    <mergeCell ref="U171:AE171"/>
    <mergeCell ref="C169:G169"/>
    <mergeCell ref="H169:N169"/>
    <mergeCell ref="O169:P169"/>
    <mergeCell ref="Q169:T169"/>
    <mergeCell ref="U169:AE169"/>
    <mergeCell ref="C170:G170"/>
    <mergeCell ref="H170:N170"/>
    <mergeCell ref="O170:P170"/>
    <mergeCell ref="Q170:T170"/>
    <mergeCell ref="U170:AE170"/>
    <mergeCell ref="C167:G167"/>
    <mergeCell ref="H167:N167"/>
    <mergeCell ref="O167:P167"/>
    <mergeCell ref="Q167:T167"/>
    <mergeCell ref="U167:AE167"/>
    <mergeCell ref="C168:G168"/>
    <mergeCell ref="H168:N168"/>
    <mergeCell ref="O168:P168"/>
    <mergeCell ref="Q168:T168"/>
    <mergeCell ref="U168:AE168"/>
    <mergeCell ref="C165:G165"/>
    <mergeCell ref="H165:N165"/>
    <mergeCell ref="O165:P165"/>
    <mergeCell ref="Q165:T165"/>
    <mergeCell ref="U165:AE165"/>
    <mergeCell ref="C166:G166"/>
    <mergeCell ref="H166:N166"/>
    <mergeCell ref="O166:P166"/>
    <mergeCell ref="Q166:T166"/>
    <mergeCell ref="U166:AE166"/>
    <mergeCell ref="C163:G163"/>
    <mergeCell ref="H163:N163"/>
    <mergeCell ref="O163:P163"/>
    <mergeCell ref="Q163:T163"/>
    <mergeCell ref="U163:AE163"/>
    <mergeCell ref="C164:G164"/>
    <mergeCell ref="H164:N164"/>
    <mergeCell ref="O164:P164"/>
    <mergeCell ref="Q164:T164"/>
    <mergeCell ref="U164:AE164"/>
    <mergeCell ref="C161:G161"/>
    <mergeCell ref="H161:N161"/>
    <mergeCell ref="O161:P161"/>
    <mergeCell ref="Q161:T161"/>
    <mergeCell ref="U161:AE161"/>
    <mergeCell ref="C162:G162"/>
    <mergeCell ref="H162:N162"/>
    <mergeCell ref="O162:P162"/>
    <mergeCell ref="Q162:T162"/>
    <mergeCell ref="U162:AE162"/>
    <mergeCell ref="C159:G159"/>
    <mergeCell ref="H159:N159"/>
    <mergeCell ref="O159:P159"/>
    <mergeCell ref="Q159:T159"/>
    <mergeCell ref="U159:AE159"/>
    <mergeCell ref="C160:G160"/>
    <mergeCell ref="H160:N160"/>
    <mergeCell ref="O160:P160"/>
    <mergeCell ref="Q160:T160"/>
    <mergeCell ref="U160:AE160"/>
    <mergeCell ref="C157:AE157"/>
    <mergeCell ref="C158:G158"/>
    <mergeCell ref="H158:N158"/>
    <mergeCell ref="O158:P158"/>
    <mergeCell ref="Q158:T158"/>
    <mergeCell ref="U158:AE158"/>
    <mergeCell ref="X154:AA154"/>
    <mergeCell ref="AB154:AE154"/>
    <mergeCell ref="D155:M155"/>
    <mergeCell ref="N155:P155"/>
    <mergeCell ref="Q155:S155"/>
    <mergeCell ref="T155:W155"/>
    <mergeCell ref="X155:AA155"/>
    <mergeCell ref="AB155:AE155"/>
    <mergeCell ref="T153:W153"/>
    <mergeCell ref="X153:AA153"/>
    <mergeCell ref="AB153:AE153"/>
    <mergeCell ref="D154:E154"/>
    <mergeCell ref="F154:H154"/>
    <mergeCell ref="I154:K154"/>
    <mergeCell ref="L154:M154"/>
    <mergeCell ref="N154:P154"/>
    <mergeCell ref="Q154:S154"/>
    <mergeCell ref="T154:W154"/>
    <mergeCell ref="D153:E153"/>
    <mergeCell ref="F153:H153"/>
    <mergeCell ref="I153:K153"/>
    <mergeCell ref="L153:M153"/>
    <mergeCell ref="N153:P153"/>
    <mergeCell ref="Q153:S153"/>
    <mergeCell ref="AB151:AE151"/>
    <mergeCell ref="D152:E152"/>
    <mergeCell ref="F152:H152"/>
    <mergeCell ref="I152:K152"/>
    <mergeCell ref="L152:M152"/>
    <mergeCell ref="N152:P152"/>
    <mergeCell ref="Q152:S152"/>
    <mergeCell ref="T152:W152"/>
    <mergeCell ref="X152:AA152"/>
    <mergeCell ref="AB152:AE152"/>
    <mergeCell ref="X150:AA150"/>
    <mergeCell ref="AB150:AE150"/>
    <mergeCell ref="D151:E151"/>
    <mergeCell ref="F151:H151"/>
    <mergeCell ref="I151:K151"/>
    <mergeCell ref="L151:M151"/>
    <mergeCell ref="N151:P151"/>
    <mergeCell ref="Q151:S151"/>
    <mergeCell ref="T151:W151"/>
    <mergeCell ref="X151:AA151"/>
    <mergeCell ref="F150:H150"/>
    <mergeCell ref="I150:K150"/>
    <mergeCell ref="L150:M150"/>
    <mergeCell ref="N150:P150"/>
    <mergeCell ref="Q150:S150"/>
    <mergeCell ref="T150:W150"/>
    <mergeCell ref="X148:AA148"/>
    <mergeCell ref="AB148:AE148"/>
    <mergeCell ref="F149:H149"/>
    <mergeCell ref="I149:K149"/>
    <mergeCell ref="L149:M149"/>
    <mergeCell ref="N149:P149"/>
    <mergeCell ref="Q149:S149"/>
    <mergeCell ref="T149:W149"/>
    <mergeCell ref="X149:AA149"/>
    <mergeCell ref="AB149:AE149"/>
    <mergeCell ref="F148:H148"/>
    <mergeCell ref="I148:K148"/>
    <mergeCell ref="L148:M148"/>
    <mergeCell ref="N148:P148"/>
    <mergeCell ref="Q148:S148"/>
    <mergeCell ref="T148:W148"/>
    <mergeCell ref="AB146:AE146"/>
    <mergeCell ref="F147:H147"/>
    <mergeCell ref="I147:K147"/>
    <mergeCell ref="L147:M147"/>
    <mergeCell ref="N147:P147"/>
    <mergeCell ref="Q147:S147"/>
    <mergeCell ref="T147:W147"/>
    <mergeCell ref="X147:AA147"/>
    <mergeCell ref="AB147:AE147"/>
    <mergeCell ref="T145:W145"/>
    <mergeCell ref="X145:AA145"/>
    <mergeCell ref="AB145:AE145"/>
    <mergeCell ref="F146:H146"/>
    <mergeCell ref="I146:K146"/>
    <mergeCell ref="L146:M146"/>
    <mergeCell ref="N146:P146"/>
    <mergeCell ref="Q146:S146"/>
    <mergeCell ref="T146:W146"/>
    <mergeCell ref="X146:AA146"/>
    <mergeCell ref="Q144:S144"/>
    <mergeCell ref="T144:W144"/>
    <mergeCell ref="X144:AA144"/>
    <mergeCell ref="AB144:AE144"/>
    <mergeCell ref="D145:E145"/>
    <mergeCell ref="F145:H145"/>
    <mergeCell ref="I145:K145"/>
    <mergeCell ref="L145:M145"/>
    <mergeCell ref="N145:P145"/>
    <mergeCell ref="Q145:S145"/>
    <mergeCell ref="D138:U138"/>
    <mergeCell ref="V138:X138"/>
    <mergeCell ref="Y138:AA138"/>
    <mergeCell ref="AB138:AE138"/>
    <mergeCell ref="C143:AE143"/>
    <mergeCell ref="D144:E144"/>
    <mergeCell ref="F144:H144"/>
    <mergeCell ref="I144:K144"/>
    <mergeCell ref="L144:M144"/>
    <mergeCell ref="N144:P144"/>
    <mergeCell ref="P137:R137"/>
    <mergeCell ref="S137:U137"/>
    <mergeCell ref="V137:X137"/>
    <mergeCell ref="Y137:AA137"/>
    <mergeCell ref="AB137:AC137"/>
    <mergeCell ref="AD137:AE137"/>
    <mergeCell ref="D137:E137"/>
    <mergeCell ref="F137:G137"/>
    <mergeCell ref="H137:I137"/>
    <mergeCell ref="J137:K137"/>
    <mergeCell ref="L137:M137"/>
    <mergeCell ref="N137:O137"/>
    <mergeCell ref="P136:R136"/>
    <mergeCell ref="S136:U136"/>
    <mergeCell ref="V136:X136"/>
    <mergeCell ref="Y136:AA136"/>
    <mergeCell ref="AB136:AC136"/>
    <mergeCell ref="AD136:AE136"/>
    <mergeCell ref="D136:E136"/>
    <mergeCell ref="F136:G136"/>
    <mergeCell ref="H136:I136"/>
    <mergeCell ref="J136:K136"/>
    <mergeCell ref="L136:M136"/>
    <mergeCell ref="N136:O136"/>
    <mergeCell ref="P135:R135"/>
    <mergeCell ref="S135:U135"/>
    <mergeCell ref="V135:X135"/>
    <mergeCell ref="Y135:AA135"/>
    <mergeCell ref="AB135:AC135"/>
    <mergeCell ref="AD135:AE135"/>
    <mergeCell ref="D135:E135"/>
    <mergeCell ref="F135:G135"/>
    <mergeCell ref="H135:I135"/>
    <mergeCell ref="J135:K135"/>
    <mergeCell ref="L135:M135"/>
    <mergeCell ref="N135:O135"/>
    <mergeCell ref="P134:R134"/>
    <mergeCell ref="S134:U134"/>
    <mergeCell ref="V134:X134"/>
    <mergeCell ref="Y134:AA134"/>
    <mergeCell ref="AB134:AC134"/>
    <mergeCell ref="AD134:AE134"/>
    <mergeCell ref="D134:E134"/>
    <mergeCell ref="F134:G134"/>
    <mergeCell ref="H134:I134"/>
    <mergeCell ref="J134:K134"/>
    <mergeCell ref="L134:M134"/>
    <mergeCell ref="N134:O134"/>
    <mergeCell ref="P133:R133"/>
    <mergeCell ref="S133:U133"/>
    <mergeCell ref="V133:X133"/>
    <mergeCell ref="Y133:AA133"/>
    <mergeCell ref="AB133:AC133"/>
    <mergeCell ref="AD133:AE133"/>
    <mergeCell ref="D133:E133"/>
    <mergeCell ref="F133:G133"/>
    <mergeCell ref="H133:I133"/>
    <mergeCell ref="J133:K133"/>
    <mergeCell ref="L133:M133"/>
    <mergeCell ref="N133:O133"/>
    <mergeCell ref="P132:R132"/>
    <mergeCell ref="S132:U132"/>
    <mergeCell ref="V132:X132"/>
    <mergeCell ref="Y132:AA132"/>
    <mergeCell ref="AB132:AC132"/>
    <mergeCell ref="AD132:AE132"/>
    <mergeCell ref="D132:E132"/>
    <mergeCell ref="F132:G132"/>
    <mergeCell ref="H132:I132"/>
    <mergeCell ref="J132:K132"/>
    <mergeCell ref="L132:M132"/>
    <mergeCell ref="N132:O132"/>
    <mergeCell ref="P131:R131"/>
    <mergeCell ref="S131:U131"/>
    <mergeCell ref="V131:X131"/>
    <mergeCell ref="Y131:AA131"/>
    <mergeCell ref="AB131:AC131"/>
    <mergeCell ref="AD131:AE131"/>
    <mergeCell ref="D131:E131"/>
    <mergeCell ref="F131:G131"/>
    <mergeCell ref="H131:I131"/>
    <mergeCell ref="J131:K131"/>
    <mergeCell ref="L131:M131"/>
    <mergeCell ref="N131:O131"/>
    <mergeCell ref="P130:R130"/>
    <mergeCell ref="S130:U130"/>
    <mergeCell ref="V130:X130"/>
    <mergeCell ref="Y130:AA130"/>
    <mergeCell ref="AB130:AC130"/>
    <mergeCell ref="AD130:AE130"/>
    <mergeCell ref="D130:E130"/>
    <mergeCell ref="F130:G130"/>
    <mergeCell ref="H130:I130"/>
    <mergeCell ref="J130:K130"/>
    <mergeCell ref="L130:M130"/>
    <mergeCell ref="N130:O130"/>
    <mergeCell ref="P129:R129"/>
    <mergeCell ref="S129:U129"/>
    <mergeCell ref="V129:X129"/>
    <mergeCell ref="Y129:AA129"/>
    <mergeCell ref="AB129:AC129"/>
    <mergeCell ref="AD129:AE129"/>
    <mergeCell ref="D129:E129"/>
    <mergeCell ref="F129:G129"/>
    <mergeCell ref="H129:I129"/>
    <mergeCell ref="J129:K129"/>
    <mergeCell ref="L129:M129"/>
    <mergeCell ref="N129:O129"/>
    <mergeCell ref="P128:R128"/>
    <mergeCell ref="S128:U128"/>
    <mergeCell ref="V128:X128"/>
    <mergeCell ref="Y128:AA128"/>
    <mergeCell ref="AB128:AC128"/>
    <mergeCell ref="AD128:AE128"/>
    <mergeCell ref="S127:U127"/>
    <mergeCell ref="V127:X127"/>
    <mergeCell ref="Y127:AA127"/>
    <mergeCell ref="AB127:AC127"/>
    <mergeCell ref="AD127:AE127"/>
    <mergeCell ref="F128:G128"/>
    <mergeCell ref="H128:I128"/>
    <mergeCell ref="J128:K128"/>
    <mergeCell ref="L128:M128"/>
    <mergeCell ref="N128:O128"/>
    <mergeCell ref="F127:G127"/>
    <mergeCell ref="H127:I127"/>
    <mergeCell ref="J127:K127"/>
    <mergeCell ref="L127:M127"/>
    <mergeCell ref="N127:O127"/>
    <mergeCell ref="P127:R127"/>
    <mergeCell ref="P126:R126"/>
    <mergeCell ref="S126:U126"/>
    <mergeCell ref="V126:X126"/>
    <mergeCell ref="Y126:AA126"/>
    <mergeCell ref="AB126:AC126"/>
    <mergeCell ref="AD126:AE126"/>
    <mergeCell ref="S125:U125"/>
    <mergeCell ref="V125:X125"/>
    <mergeCell ref="Y125:AA125"/>
    <mergeCell ref="AB125:AC125"/>
    <mergeCell ref="AD125:AE125"/>
    <mergeCell ref="F126:G126"/>
    <mergeCell ref="H126:I126"/>
    <mergeCell ref="J126:K126"/>
    <mergeCell ref="L126:M126"/>
    <mergeCell ref="N126:O126"/>
    <mergeCell ref="F125:G125"/>
    <mergeCell ref="H125:I125"/>
    <mergeCell ref="J125:K125"/>
    <mergeCell ref="L125:M125"/>
    <mergeCell ref="N125:O125"/>
    <mergeCell ref="P125:R125"/>
    <mergeCell ref="P124:R124"/>
    <mergeCell ref="S124:U124"/>
    <mergeCell ref="V124:X124"/>
    <mergeCell ref="Y124:AA124"/>
    <mergeCell ref="AB124:AC124"/>
    <mergeCell ref="AD124:AE124"/>
    <mergeCell ref="S123:U123"/>
    <mergeCell ref="V123:X123"/>
    <mergeCell ref="Y123:AA123"/>
    <mergeCell ref="AB123:AC123"/>
    <mergeCell ref="AD123:AE123"/>
    <mergeCell ref="F124:G124"/>
    <mergeCell ref="H124:I124"/>
    <mergeCell ref="J124:K124"/>
    <mergeCell ref="L124:M124"/>
    <mergeCell ref="N124:O124"/>
    <mergeCell ref="F123:G123"/>
    <mergeCell ref="H123:I123"/>
    <mergeCell ref="J123:K123"/>
    <mergeCell ref="L123:M123"/>
    <mergeCell ref="N123:O123"/>
    <mergeCell ref="P123:R123"/>
    <mergeCell ref="P122:R122"/>
    <mergeCell ref="S122:U122"/>
    <mergeCell ref="V122:X122"/>
    <mergeCell ref="Y122:AA122"/>
    <mergeCell ref="AB122:AC122"/>
    <mergeCell ref="AD122:AE122"/>
    <mergeCell ref="S121:U121"/>
    <mergeCell ref="V121:X121"/>
    <mergeCell ref="Y121:AA121"/>
    <mergeCell ref="AB121:AC121"/>
    <mergeCell ref="AD121:AE121"/>
    <mergeCell ref="F122:G122"/>
    <mergeCell ref="H122:I122"/>
    <mergeCell ref="J122:K122"/>
    <mergeCell ref="L122:M122"/>
    <mergeCell ref="N122:O122"/>
    <mergeCell ref="F121:G121"/>
    <mergeCell ref="H121:I121"/>
    <mergeCell ref="J121:K121"/>
    <mergeCell ref="L121:M121"/>
    <mergeCell ref="N121:O121"/>
    <mergeCell ref="P121:R121"/>
    <mergeCell ref="P120:R120"/>
    <mergeCell ref="S120:U120"/>
    <mergeCell ref="V120:X120"/>
    <mergeCell ref="Y120:AA120"/>
    <mergeCell ref="AB120:AC120"/>
    <mergeCell ref="AD120:AE120"/>
    <mergeCell ref="D120:E120"/>
    <mergeCell ref="F120:G120"/>
    <mergeCell ref="H120:I120"/>
    <mergeCell ref="J120:K120"/>
    <mergeCell ref="L120:M120"/>
    <mergeCell ref="N120:O120"/>
    <mergeCell ref="P119:R119"/>
    <mergeCell ref="S119:U119"/>
    <mergeCell ref="V119:X119"/>
    <mergeCell ref="Y119:AA119"/>
    <mergeCell ref="AB119:AC119"/>
    <mergeCell ref="AD119:AE119"/>
    <mergeCell ref="D119:E119"/>
    <mergeCell ref="F119:G119"/>
    <mergeCell ref="H119:I119"/>
    <mergeCell ref="J119:K119"/>
    <mergeCell ref="L119:M119"/>
    <mergeCell ref="N119:O119"/>
    <mergeCell ref="P118:R118"/>
    <mergeCell ref="S118:U118"/>
    <mergeCell ref="V118:X118"/>
    <mergeCell ref="Y118:AA118"/>
    <mergeCell ref="AB118:AC118"/>
    <mergeCell ref="AD118:AE118"/>
    <mergeCell ref="D118:E118"/>
    <mergeCell ref="F118:G118"/>
    <mergeCell ref="H118:I118"/>
    <mergeCell ref="J118:K118"/>
    <mergeCell ref="L118:M118"/>
    <mergeCell ref="N118:O118"/>
    <mergeCell ref="L116:M117"/>
    <mergeCell ref="N116:O117"/>
    <mergeCell ref="P116:U116"/>
    <mergeCell ref="V116:AA116"/>
    <mergeCell ref="AB116:AC117"/>
    <mergeCell ref="AD116:AE117"/>
    <mergeCell ref="P117:R117"/>
    <mergeCell ref="S117:U117"/>
    <mergeCell ref="V117:X117"/>
    <mergeCell ref="Y117:AA117"/>
    <mergeCell ref="D112:K112"/>
    <mergeCell ref="L112:O112"/>
    <mergeCell ref="P112:AE112"/>
    <mergeCell ref="C113:AE114"/>
    <mergeCell ref="C115:AE115"/>
    <mergeCell ref="C116:C117"/>
    <mergeCell ref="D116:E117"/>
    <mergeCell ref="F116:G117"/>
    <mergeCell ref="H116:I117"/>
    <mergeCell ref="J116:K117"/>
    <mergeCell ref="Z110:AB110"/>
    <mergeCell ref="AC110:AE110"/>
    <mergeCell ref="D111:G111"/>
    <mergeCell ref="H111:K111"/>
    <mergeCell ref="L111:O111"/>
    <mergeCell ref="P111:S111"/>
    <mergeCell ref="T111:V111"/>
    <mergeCell ref="W111:Y111"/>
    <mergeCell ref="Z111:AB111"/>
    <mergeCell ref="AC111:AE111"/>
    <mergeCell ref="D110:G110"/>
    <mergeCell ref="H110:K110"/>
    <mergeCell ref="L110:O110"/>
    <mergeCell ref="P110:S110"/>
    <mergeCell ref="T110:V110"/>
    <mergeCell ref="W110:Y110"/>
    <mergeCell ref="Z108:AB108"/>
    <mergeCell ref="AC108:AE108"/>
    <mergeCell ref="D109:G109"/>
    <mergeCell ref="H109:K109"/>
    <mergeCell ref="L109:O109"/>
    <mergeCell ref="P109:S109"/>
    <mergeCell ref="T109:V109"/>
    <mergeCell ref="W109:Y109"/>
    <mergeCell ref="Z109:AB109"/>
    <mergeCell ref="AC109:AE109"/>
    <mergeCell ref="D108:G108"/>
    <mergeCell ref="H108:K108"/>
    <mergeCell ref="L108:O108"/>
    <mergeCell ref="P108:S108"/>
    <mergeCell ref="T108:V108"/>
    <mergeCell ref="W108:Y108"/>
    <mergeCell ref="Z106:AB106"/>
    <mergeCell ref="AC106:AE106"/>
    <mergeCell ref="D107:G107"/>
    <mergeCell ref="H107:K107"/>
    <mergeCell ref="L107:O107"/>
    <mergeCell ref="P107:S107"/>
    <mergeCell ref="T107:V107"/>
    <mergeCell ref="W107:Y107"/>
    <mergeCell ref="Z107:AB107"/>
    <mergeCell ref="AC107:AE107"/>
    <mergeCell ref="D106:G106"/>
    <mergeCell ref="H106:K106"/>
    <mergeCell ref="L106:O106"/>
    <mergeCell ref="P106:S106"/>
    <mergeCell ref="T106:V106"/>
    <mergeCell ref="W106:Y106"/>
    <mergeCell ref="Z104:AB104"/>
    <mergeCell ref="AC104:AE104"/>
    <mergeCell ref="D105:G105"/>
    <mergeCell ref="H105:K105"/>
    <mergeCell ref="L105:O105"/>
    <mergeCell ref="P105:S105"/>
    <mergeCell ref="T105:V105"/>
    <mergeCell ref="W105:Y105"/>
    <mergeCell ref="Z105:AB105"/>
    <mergeCell ref="AC105:AE105"/>
    <mergeCell ref="D104:G104"/>
    <mergeCell ref="H104:K104"/>
    <mergeCell ref="L104:O104"/>
    <mergeCell ref="P104:S104"/>
    <mergeCell ref="T104:V104"/>
    <mergeCell ref="W104:Y104"/>
    <mergeCell ref="Z102:AB102"/>
    <mergeCell ref="AC102:AE102"/>
    <mergeCell ref="D103:G103"/>
    <mergeCell ref="H103:K103"/>
    <mergeCell ref="L103:O103"/>
    <mergeCell ref="P103:S103"/>
    <mergeCell ref="T103:V103"/>
    <mergeCell ref="W103:Y103"/>
    <mergeCell ref="Z103:AB103"/>
    <mergeCell ref="AC103:AE103"/>
    <mergeCell ref="D102:G102"/>
    <mergeCell ref="H102:K102"/>
    <mergeCell ref="L102:O102"/>
    <mergeCell ref="P102:S102"/>
    <mergeCell ref="T102:V102"/>
    <mergeCell ref="W102:Y102"/>
    <mergeCell ref="Z100:AB100"/>
    <mergeCell ref="AC100:AE100"/>
    <mergeCell ref="D101:G101"/>
    <mergeCell ref="H101:K101"/>
    <mergeCell ref="L101:O101"/>
    <mergeCell ref="P101:S101"/>
    <mergeCell ref="T101:V101"/>
    <mergeCell ref="W101:Y101"/>
    <mergeCell ref="Z101:AB101"/>
    <mergeCell ref="AC101:AE101"/>
    <mergeCell ref="D100:G100"/>
    <mergeCell ref="H100:K100"/>
    <mergeCell ref="L100:O100"/>
    <mergeCell ref="P100:S100"/>
    <mergeCell ref="T100:V100"/>
    <mergeCell ref="W100:Y100"/>
    <mergeCell ref="Z98:AB98"/>
    <mergeCell ref="AC98:AE98"/>
    <mergeCell ref="D99:G99"/>
    <mergeCell ref="H99:K99"/>
    <mergeCell ref="L99:O99"/>
    <mergeCell ref="P99:S99"/>
    <mergeCell ref="T99:V99"/>
    <mergeCell ref="W99:Y99"/>
    <mergeCell ref="Z99:AB99"/>
    <mergeCell ref="AC99:AE99"/>
    <mergeCell ref="D98:G98"/>
    <mergeCell ref="H98:K98"/>
    <mergeCell ref="L98:O98"/>
    <mergeCell ref="P98:S98"/>
    <mergeCell ref="T98:V98"/>
    <mergeCell ref="W98:Y98"/>
    <mergeCell ref="Z96:AB96"/>
    <mergeCell ref="AC96:AE96"/>
    <mergeCell ref="D97:G97"/>
    <mergeCell ref="H97:K97"/>
    <mergeCell ref="L97:O97"/>
    <mergeCell ref="P97:S97"/>
    <mergeCell ref="T97:V97"/>
    <mergeCell ref="W97:Y97"/>
    <mergeCell ref="Z97:AB97"/>
    <mergeCell ref="AC97:AE97"/>
    <mergeCell ref="D96:G96"/>
    <mergeCell ref="H96:K96"/>
    <mergeCell ref="L96:O96"/>
    <mergeCell ref="P96:S96"/>
    <mergeCell ref="T96:V96"/>
    <mergeCell ref="W96:Y96"/>
    <mergeCell ref="Z94:AB94"/>
    <mergeCell ref="AC94:AE94"/>
    <mergeCell ref="D95:G95"/>
    <mergeCell ref="H95:K95"/>
    <mergeCell ref="L95:O95"/>
    <mergeCell ref="P95:S95"/>
    <mergeCell ref="T95:V95"/>
    <mergeCell ref="W95:Y95"/>
    <mergeCell ref="Z95:AB95"/>
    <mergeCell ref="AC95:AE95"/>
    <mergeCell ref="D94:G94"/>
    <mergeCell ref="H94:K94"/>
    <mergeCell ref="L94:O94"/>
    <mergeCell ref="P94:S94"/>
    <mergeCell ref="T94:V94"/>
    <mergeCell ref="W94:Y94"/>
    <mergeCell ref="Z92:AB92"/>
    <mergeCell ref="AC92:AE92"/>
    <mergeCell ref="D93:G93"/>
    <mergeCell ref="H93:K93"/>
    <mergeCell ref="L93:O93"/>
    <mergeCell ref="P93:S93"/>
    <mergeCell ref="T93:V93"/>
    <mergeCell ref="W93:Y93"/>
    <mergeCell ref="Z93:AB93"/>
    <mergeCell ref="AC93:AE93"/>
    <mergeCell ref="D92:G92"/>
    <mergeCell ref="H92:K92"/>
    <mergeCell ref="L92:O92"/>
    <mergeCell ref="P92:S92"/>
    <mergeCell ref="T92:V92"/>
    <mergeCell ref="W92:Y92"/>
    <mergeCell ref="Z90:AB90"/>
    <mergeCell ref="AC90:AE90"/>
    <mergeCell ref="D91:G91"/>
    <mergeCell ref="H91:K91"/>
    <mergeCell ref="L91:O91"/>
    <mergeCell ref="P91:S91"/>
    <mergeCell ref="T91:V91"/>
    <mergeCell ref="W91:Y91"/>
    <mergeCell ref="Z91:AB91"/>
    <mergeCell ref="AC91:AE91"/>
    <mergeCell ref="D90:G90"/>
    <mergeCell ref="H90:K90"/>
    <mergeCell ref="L90:O90"/>
    <mergeCell ref="P90:S90"/>
    <mergeCell ref="T90:V90"/>
    <mergeCell ref="W90:Y90"/>
    <mergeCell ref="Z88:AB88"/>
    <mergeCell ref="AC88:AE88"/>
    <mergeCell ref="D89:G89"/>
    <mergeCell ref="H89:K89"/>
    <mergeCell ref="L89:O89"/>
    <mergeCell ref="P89:S89"/>
    <mergeCell ref="T89:V89"/>
    <mergeCell ref="W89:Y89"/>
    <mergeCell ref="Z89:AB89"/>
    <mergeCell ref="AC89:AE89"/>
    <mergeCell ref="D88:G88"/>
    <mergeCell ref="H88:K88"/>
    <mergeCell ref="L88:O88"/>
    <mergeCell ref="P88:S88"/>
    <mergeCell ref="T88:V88"/>
    <mergeCell ref="W88:Y88"/>
    <mergeCell ref="Z86:AB86"/>
    <mergeCell ref="AC86:AE86"/>
    <mergeCell ref="D87:G87"/>
    <mergeCell ref="H87:K87"/>
    <mergeCell ref="L87:O87"/>
    <mergeCell ref="P87:S87"/>
    <mergeCell ref="T87:V87"/>
    <mergeCell ref="W87:Y87"/>
    <mergeCell ref="Z87:AB87"/>
    <mergeCell ref="AC87:AE87"/>
    <mergeCell ref="D86:G86"/>
    <mergeCell ref="H86:K86"/>
    <mergeCell ref="L86:O86"/>
    <mergeCell ref="P86:S86"/>
    <mergeCell ref="T86:V86"/>
    <mergeCell ref="W86:Y86"/>
    <mergeCell ref="Z84:AB84"/>
    <mergeCell ref="AC84:AE84"/>
    <mergeCell ref="D85:G85"/>
    <mergeCell ref="H85:K85"/>
    <mergeCell ref="L85:O85"/>
    <mergeCell ref="P85:S85"/>
    <mergeCell ref="T85:V85"/>
    <mergeCell ref="W85:Y85"/>
    <mergeCell ref="Z85:AB85"/>
    <mergeCell ref="AC85:AE85"/>
    <mergeCell ref="D84:G84"/>
    <mergeCell ref="H84:K84"/>
    <mergeCell ref="L84:O84"/>
    <mergeCell ref="P84:S84"/>
    <mergeCell ref="T84:V84"/>
    <mergeCell ref="W84:Y84"/>
    <mergeCell ref="Z82:AB82"/>
    <mergeCell ref="AC82:AE82"/>
    <mergeCell ref="D83:G83"/>
    <mergeCell ref="H83:K83"/>
    <mergeCell ref="L83:O83"/>
    <mergeCell ref="P83:S83"/>
    <mergeCell ref="T83:V83"/>
    <mergeCell ref="W83:Y83"/>
    <mergeCell ref="Z83:AB83"/>
    <mergeCell ref="AC83:AE83"/>
    <mergeCell ref="D82:G82"/>
    <mergeCell ref="H82:K82"/>
    <mergeCell ref="L82:O82"/>
    <mergeCell ref="P82:S82"/>
    <mergeCell ref="T82:V82"/>
    <mergeCell ref="W82:Y82"/>
    <mergeCell ref="Z80:AB80"/>
    <mergeCell ref="AC80:AE80"/>
    <mergeCell ref="D81:G81"/>
    <mergeCell ref="H81:K81"/>
    <mergeCell ref="L81:O81"/>
    <mergeCell ref="P81:S81"/>
    <mergeCell ref="T81:V81"/>
    <mergeCell ref="W81:Y81"/>
    <mergeCell ref="Z81:AB81"/>
    <mergeCell ref="AC81:AE81"/>
    <mergeCell ref="D80:G80"/>
    <mergeCell ref="H80:K80"/>
    <mergeCell ref="L80:O80"/>
    <mergeCell ref="P80:S80"/>
    <mergeCell ref="T80:V80"/>
    <mergeCell ref="W80:Y80"/>
    <mergeCell ref="Z78:AB78"/>
    <mergeCell ref="AC78:AE78"/>
    <mergeCell ref="D79:G79"/>
    <mergeCell ref="H79:K79"/>
    <mergeCell ref="L79:O79"/>
    <mergeCell ref="P79:S79"/>
    <mergeCell ref="T79:V79"/>
    <mergeCell ref="W79:Y79"/>
    <mergeCell ref="Z79:AB79"/>
    <mergeCell ref="AC79:AE79"/>
    <mergeCell ref="D78:G78"/>
    <mergeCell ref="H78:K78"/>
    <mergeCell ref="L78:O78"/>
    <mergeCell ref="P78:S78"/>
    <mergeCell ref="T78:V78"/>
    <mergeCell ref="W78:Y78"/>
    <mergeCell ref="Z76:AB76"/>
    <mergeCell ref="AC76:AE76"/>
    <mergeCell ref="D77:G77"/>
    <mergeCell ref="H77:K77"/>
    <mergeCell ref="L77:O77"/>
    <mergeCell ref="P77:S77"/>
    <mergeCell ref="T77:V77"/>
    <mergeCell ref="W77:Y77"/>
    <mergeCell ref="Z77:AB77"/>
    <mergeCell ref="AC77:AE77"/>
    <mergeCell ref="D76:G76"/>
    <mergeCell ref="H76:K76"/>
    <mergeCell ref="L76:O76"/>
    <mergeCell ref="P76:S76"/>
    <mergeCell ref="T76:V76"/>
    <mergeCell ref="W76:Y76"/>
    <mergeCell ref="Z74:AB74"/>
    <mergeCell ref="AC74:AE74"/>
    <mergeCell ref="D75:G75"/>
    <mergeCell ref="H75:K75"/>
    <mergeCell ref="L75:O75"/>
    <mergeCell ref="P75:S75"/>
    <mergeCell ref="T75:V75"/>
    <mergeCell ref="W75:Y75"/>
    <mergeCell ref="Z75:AB75"/>
    <mergeCell ref="AC75:AE75"/>
    <mergeCell ref="D74:G74"/>
    <mergeCell ref="H74:K74"/>
    <mergeCell ref="L74:O74"/>
    <mergeCell ref="P74:S74"/>
    <mergeCell ref="T74:V74"/>
    <mergeCell ref="W74:Y74"/>
    <mergeCell ref="Z72:AB72"/>
    <mergeCell ref="AC72:AE72"/>
    <mergeCell ref="D73:G73"/>
    <mergeCell ref="H73:K73"/>
    <mergeCell ref="L73:O73"/>
    <mergeCell ref="P73:S73"/>
    <mergeCell ref="T73:V73"/>
    <mergeCell ref="W73:Y73"/>
    <mergeCell ref="Z73:AB73"/>
    <mergeCell ref="AC73:AE73"/>
    <mergeCell ref="D72:G72"/>
    <mergeCell ref="H72:K72"/>
    <mergeCell ref="L72:O72"/>
    <mergeCell ref="P72:S72"/>
    <mergeCell ref="T72:V72"/>
    <mergeCell ref="W72:Y72"/>
    <mergeCell ref="Z70:AB70"/>
    <mergeCell ref="AC70:AE70"/>
    <mergeCell ref="D71:G71"/>
    <mergeCell ref="H71:K71"/>
    <mergeCell ref="L71:O71"/>
    <mergeCell ref="P71:S71"/>
    <mergeCell ref="T71:V71"/>
    <mergeCell ref="W71:Y71"/>
    <mergeCell ref="Z71:AB71"/>
    <mergeCell ref="AC71:AE71"/>
    <mergeCell ref="D70:G70"/>
    <mergeCell ref="H70:K70"/>
    <mergeCell ref="L70:O70"/>
    <mergeCell ref="P70:S70"/>
    <mergeCell ref="T70:V70"/>
    <mergeCell ref="W70:Y70"/>
    <mergeCell ref="Z68:AB68"/>
    <mergeCell ref="AC68:AE68"/>
    <mergeCell ref="D69:G69"/>
    <mergeCell ref="H69:K69"/>
    <mergeCell ref="L69:O69"/>
    <mergeCell ref="P69:S69"/>
    <mergeCell ref="T69:V69"/>
    <mergeCell ref="W69:Y69"/>
    <mergeCell ref="Z69:AB69"/>
    <mergeCell ref="AC69:AE69"/>
    <mergeCell ref="D68:G68"/>
    <mergeCell ref="H68:K68"/>
    <mergeCell ref="L68:O68"/>
    <mergeCell ref="P68:S68"/>
    <mergeCell ref="T68:V68"/>
    <mergeCell ref="W68:Y68"/>
    <mergeCell ref="Z66:AB66"/>
    <mergeCell ref="AC66:AE66"/>
    <mergeCell ref="D67:G67"/>
    <mergeCell ref="H67:K67"/>
    <mergeCell ref="L67:O67"/>
    <mergeCell ref="P67:S67"/>
    <mergeCell ref="T67:V67"/>
    <mergeCell ref="W67:Y67"/>
    <mergeCell ref="Z67:AB67"/>
    <mergeCell ref="AC67:AE67"/>
    <mergeCell ref="D66:G66"/>
    <mergeCell ref="H66:K66"/>
    <mergeCell ref="L66:O66"/>
    <mergeCell ref="P66:S66"/>
    <mergeCell ref="T66:V66"/>
    <mergeCell ref="W66:Y66"/>
    <mergeCell ref="Z64:AB64"/>
    <mergeCell ref="AC64:AE64"/>
    <mergeCell ref="D65:G65"/>
    <mergeCell ref="H65:K65"/>
    <mergeCell ref="L65:O65"/>
    <mergeCell ref="P65:S65"/>
    <mergeCell ref="T65:V65"/>
    <mergeCell ref="W65:Y65"/>
    <mergeCell ref="Z65:AB65"/>
    <mergeCell ref="AC65:AE65"/>
    <mergeCell ref="D64:G64"/>
    <mergeCell ref="H64:K64"/>
    <mergeCell ref="L64:O64"/>
    <mergeCell ref="P64:S64"/>
    <mergeCell ref="T64:V64"/>
    <mergeCell ref="W64:Y64"/>
    <mergeCell ref="Z62:AB62"/>
    <mergeCell ref="AC62:AE62"/>
    <mergeCell ref="D63:G63"/>
    <mergeCell ref="H63:K63"/>
    <mergeCell ref="L63:O63"/>
    <mergeCell ref="P63:S63"/>
    <mergeCell ref="T63:V63"/>
    <mergeCell ref="W63:Y63"/>
    <mergeCell ref="Z63:AB63"/>
    <mergeCell ref="AC63:AE63"/>
    <mergeCell ref="D62:G62"/>
    <mergeCell ref="H62:K62"/>
    <mergeCell ref="L62:O62"/>
    <mergeCell ref="P62:S62"/>
    <mergeCell ref="T62:V62"/>
    <mergeCell ref="W62:Y62"/>
    <mergeCell ref="C60:AE60"/>
    <mergeCell ref="D61:G61"/>
    <mergeCell ref="H61:K61"/>
    <mergeCell ref="L61:O61"/>
    <mergeCell ref="P61:S61"/>
    <mergeCell ref="T61:V61"/>
    <mergeCell ref="W61:Y61"/>
    <mergeCell ref="Z61:AB61"/>
    <mergeCell ref="AC61:AE61"/>
    <mergeCell ref="D57:G57"/>
    <mergeCell ref="H57:J57"/>
    <mergeCell ref="K57:O57"/>
    <mergeCell ref="P57:S57"/>
    <mergeCell ref="T57:AE57"/>
    <mergeCell ref="C58:AE59"/>
    <mergeCell ref="D56:G56"/>
    <mergeCell ref="H56:J56"/>
    <mergeCell ref="K56:O56"/>
    <mergeCell ref="P56:S56"/>
    <mergeCell ref="T56:Z56"/>
    <mergeCell ref="AA56:AE56"/>
    <mergeCell ref="D55:G55"/>
    <mergeCell ref="H55:J55"/>
    <mergeCell ref="K55:O55"/>
    <mergeCell ref="P55:S55"/>
    <mergeCell ref="T55:Z55"/>
    <mergeCell ref="AA55:AE55"/>
    <mergeCell ref="D54:G54"/>
    <mergeCell ref="H54:J54"/>
    <mergeCell ref="K54:O54"/>
    <mergeCell ref="P54:S54"/>
    <mergeCell ref="T54:Z54"/>
    <mergeCell ref="AA54:AE54"/>
    <mergeCell ref="D53:G53"/>
    <mergeCell ref="H53:J53"/>
    <mergeCell ref="K53:O53"/>
    <mergeCell ref="P53:S53"/>
    <mergeCell ref="T53:Z53"/>
    <mergeCell ref="AA53:AE53"/>
    <mergeCell ref="D52:G52"/>
    <mergeCell ref="H52:J52"/>
    <mergeCell ref="K52:O52"/>
    <mergeCell ref="P52:S52"/>
    <mergeCell ref="T52:Z52"/>
    <mergeCell ref="AA52:AE52"/>
    <mergeCell ref="D51:G51"/>
    <mergeCell ref="H51:J51"/>
    <mergeCell ref="K51:O51"/>
    <mergeCell ref="P51:S51"/>
    <mergeCell ref="T51:Z51"/>
    <mergeCell ref="AA51:AE51"/>
    <mergeCell ref="D50:G50"/>
    <mergeCell ref="H50:J50"/>
    <mergeCell ref="K50:O50"/>
    <mergeCell ref="P50:S50"/>
    <mergeCell ref="T50:Z50"/>
    <mergeCell ref="AA50:AE50"/>
    <mergeCell ref="D49:G49"/>
    <mergeCell ref="H49:J49"/>
    <mergeCell ref="K49:O49"/>
    <mergeCell ref="P49:S49"/>
    <mergeCell ref="T49:Z49"/>
    <mergeCell ref="AA49:AE49"/>
    <mergeCell ref="D48:G48"/>
    <mergeCell ref="H48:J48"/>
    <mergeCell ref="K48:O48"/>
    <mergeCell ref="P48:S48"/>
    <mergeCell ref="T48:Z48"/>
    <mergeCell ref="AA48:AE48"/>
    <mergeCell ref="D47:G47"/>
    <mergeCell ref="H47:J47"/>
    <mergeCell ref="K47:O47"/>
    <mergeCell ref="P47:S47"/>
    <mergeCell ref="T47:Z47"/>
    <mergeCell ref="AA47:AE47"/>
    <mergeCell ref="D46:G46"/>
    <mergeCell ref="H46:J46"/>
    <mergeCell ref="K46:O46"/>
    <mergeCell ref="P46:S46"/>
    <mergeCell ref="T46:Z46"/>
    <mergeCell ref="AA46:AE46"/>
    <mergeCell ref="D45:G45"/>
    <mergeCell ref="H45:J45"/>
    <mergeCell ref="K45:O45"/>
    <mergeCell ref="P45:S45"/>
    <mergeCell ref="T45:Z45"/>
    <mergeCell ref="AA45:AE45"/>
    <mergeCell ref="D44:G44"/>
    <mergeCell ref="H44:J44"/>
    <mergeCell ref="K44:O44"/>
    <mergeCell ref="P44:S44"/>
    <mergeCell ref="T44:Z44"/>
    <mergeCell ref="AA44:AE44"/>
    <mergeCell ref="D43:G43"/>
    <mergeCell ref="H43:J43"/>
    <mergeCell ref="K43:O43"/>
    <mergeCell ref="P43:S43"/>
    <mergeCell ref="T43:Z43"/>
    <mergeCell ref="AA43:AE43"/>
    <mergeCell ref="D42:G42"/>
    <mergeCell ref="H42:J42"/>
    <mergeCell ref="K42:O42"/>
    <mergeCell ref="P42:S42"/>
    <mergeCell ref="T42:Z42"/>
    <mergeCell ref="AA42:AE42"/>
    <mergeCell ref="D41:G41"/>
    <mergeCell ref="H41:J41"/>
    <mergeCell ref="K41:O41"/>
    <mergeCell ref="P41:S41"/>
    <mergeCell ref="T41:Z41"/>
    <mergeCell ref="AA41:AE41"/>
    <mergeCell ref="D40:G40"/>
    <mergeCell ref="H40:J40"/>
    <mergeCell ref="K40:O40"/>
    <mergeCell ref="P40:S40"/>
    <mergeCell ref="T40:Z40"/>
    <mergeCell ref="AA40:AE40"/>
    <mergeCell ref="D39:G39"/>
    <mergeCell ref="H39:J39"/>
    <mergeCell ref="K39:O39"/>
    <mergeCell ref="P39:S39"/>
    <mergeCell ref="T39:Z39"/>
    <mergeCell ref="AA39:AE39"/>
    <mergeCell ref="D38:G38"/>
    <mergeCell ref="H38:J38"/>
    <mergeCell ref="K38:O38"/>
    <mergeCell ref="P38:S38"/>
    <mergeCell ref="T38:Z38"/>
    <mergeCell ref="AA38:AE38"/>
    <mergeCell ref="D37:G37"/>
    <mergeCell ref="H37:J37"/>
    <mergeCell ref="K37:O37"/>
    <mergeCell ref="P37:S37"/>
    <mergeCell ref="T37:Z37"/>
    <mergeCell ref="AA37:AE37"/>
    <mergeCell ref="D36:G36"/>
    <mergeCell ref="H36:J36"/>
    <mergeCell ref="K36:O36"/>
    <mergeCell ref="P36:S36"/>
    <mergeCell ref="T36:Z36"/>
    <mergeCell ref="AA36:AE36"/>
    <mergeCell ref="D35:G35"/>
    <mergeCell ref="H35:J35"/>
    <mergeCell ref="K35:O35"/>
    <mergeCell ref="P35:S35"/>
    <mergeCell ref="T35:Z35"/>
    <mergeCell ref="AA35:AE35"/>
    <mergeCell ref="D34:G34"/>
    <mergeCell ref="H34:J34"/>
    <mergeCell ref="K34:O34"/>
    <mergeCell ref="P34:S34"/>
    <mergeCell ref="T34:Z34"/>
    <mergeCell ref="AA34:AE34"/>
    <mergeCell ref="D33:G33"/>
    <mergeCell ref="H33:J33"/>
    <mergeCell ref="K33:O33"/>
    <mergeCell ref="P33:S33"/>
    <mergeCell ref="T33:Z33"/>
    <mergeCell ref="AA33:AE33"/>
    <mergeCell ref="D32:G32"/>
    <mergeCell ref="H32:J32"/>
    <mergeCell ref="K32:O32"/>
    <mergeCell ref="P32:S32"/>
    <mergeCell ref="T32:Z32"/>
    <mergeCell ref="AA32:AE32"/>
    <mergeCell ref="D31:G31"/>
    <mergeCell ref="H31:J31"/>
    <mergeCell ref="K31:O31"/>
    <mergeCell ref="P31:S31"/>
    <mergeCell ref="T31:Z31"/>
    <mergeCell ref="AA31:AE31"/>
    <mergeCell ref="D30:G30"/>
    <mergeCell ref="H30:J30"/>
    <mergeCell ref="K30:O30"/>
    <mergeCell ref="P30:S30"/>
    <mergeCell ref="T30:Z30"/>
    <mergeCell ref="AA30:AE30"/>
    <mergeCell ref="D29:G29"/>
    <mergeCell ref="H29:J29"/>
    <mergeCell ref="K29:O29"/>
    <mergeCell ref="P29:S29"/>
    <mergeCell ref="T29:Z29"/>
    <mergeCell ref="AA29:AE29"/>
    <mergeCell ref="D28:G28"/>
    <mergeCell ref="H28:J28"/>
    <mergeCell ref="K28:O28"/>
    <mergeCell ref="P28:S28"/>
    <mergeCell ref="T28:Z28"/>
    <mergeCell ref="AA28:AE28"/>
    <mergeCell ref="D27:G27"/>
    <mergeCell ref="H27:J27"/>
    <mergeCell ref="K27:O27"/>
    <mergeCell ref="P27:S27"/>
    <mergeCell ref="T27:Z27"/>
    <mergeCell ref="AA27:AE27"/>
    <mergeCell ref="D26:G26"/>
    <mergeCell ref="H26:J26"/>
    <mergeCell ref="K26:O26"/>
    <mergeCell ref="P26:S26"/>
    <mergeCell ref="T26:Z26"/>
    <mergeCell ref="AA26:AE26"/>
    <mergeCell ref="D25:G25"/>
    <mergeCell ref="H25:J25"/>
    <mergeCell ref="K25:O25"/>
    <mergeCell ref="P25:S25"/>
    <mergeCell ref="T25:Z25"/>
    <mergeCell ref="AA25:AE25"/>
    <mergeCell ref="D24:G24"/>
    <mergeCell ref="H24:J24"/>
    <mergeCell ref="K24:O24"/>
    <mergeCell ref="P24:S24"/>
    <mergeCell ref="T24:Z24"/>
    <mergeCell ref="AA24:AE24"/>
    <mergeCell ref="D23:G23"/>
    <mergeCell ref="H23:J23"/>
    <mergeCell ref="K23:O23"/>
    <mergeCell ref="P23:S23"/>
    <mergeCell ref="T23:Z23"/>
    <mergeCell ref="AA23:AE23"/>
    <mergeCell ref="D22:G22"/>
    <mergeCell ref="H22:J22"/>
    <mergeCell ref="K22:O22"/>
    <mergeCell ref="P22:S22"/>
    <mergeCell ref="T22:Z22"/>
    <mergeCell ref="AA22:AE22"/>
    <mergeCell ref="D21:G21"/>
    <mergeCell ref="H21:J21"/>
    <mergeCell ref="K21:O21"/>
    <mergeCell ref="P21:S21"/>
    <mergeCell ref="T21:Z21"/>
    <mergeCell ref="AA21:AE21"/>
    <mergeCell ref="D20:G20"/>
    <mergeCell ref="H20:J20"/>
    <mergeCell ref="K20:O20"/>
    <mergeCell ref="P20:S20"/>
    <mergeCell ref="T20:Z20"/>
    <mergeCell ref="AA20:AE20"/>
    <mergeCell ref="D19:G19"/>
    <mergeCell ref="H19:J19"/>
    <mergeCell ref="K19:O19"/>
    <mergeCell ref="P19:S19"/>
    <mergeCell ref="T19:Z19"/>
    <mergeCell ref="AA19:AE19"/>
    <mergeCell ref="D18:G18"/>
    <mergeCell ref="H18:J18"/>
    <mergeCell ref="K18:O18"/>
    <mergeCell ref="P18:S18"/>
    <mergeCell ref="T18:Z18"/>
    <mergeCell ref="AA18:AE18"/>
    <mergeCell ref="D17:G17"/>
    <mergeCell ref="H17:J17"/>
    <mergeCell ref="K17:O17"/>
    <mergeCell ref="P17:S17"/>
    <mergeCell ref="T17:Z17"/>
    <mergeCell ref="AA17:AE17"/>
    <mergeCell ref="D16:G16"/>
    <mergeCell ref="H16:J16"/>
    <mergeCell ref="K16:O16"/>
    <mergeCell ref="P16:S16"/>
    <mergeCell ref="T16:Z16"/>
    <mergeCell ref="AA16:AE16"/>
    <mergeCell ref="D15:G15"/>
    <mergeCell ref="H15:J15"/>
    <mergeCell ref="K15:O15"/>
    <mergeCell ref="P15:S15"/>
    <mergeCell ref="T15:Z15"/>
    <mergeCell ref="AA15:AE15"/>
    <mergeCell ref="D14:G14"/>
    <mergeCell ref="H14:J14"/>
    <mergeCell ref="K14:O14"/>
    <mergeCell ref="P14:S14"/>
    <mergeCell ref="T14:Z14"/>
    <mergeCell ref="AA14:AE14"/>
    <mergeCell ref="AA8:AE8"/>
    <mergeCell ref="D13:G13"/>
    <mergeCell ref="H13:J13"/>
    <mergeCell ref="K13:O13"/>
    <mergeCell ref="P13:S13"/>
    <mergeCell ref="T13:Z13"/>
    <mergeCell ref="AA13:AE13"/>
    <mergeCell ref="D12:G12"/>
    <mergeCell ref="H12:J12"/>
    <mergeCell ref="K12:O12"/>
    <mergeCell ref="P12:S12"/>
    <mergeCell ref="T12:Z12"/>
    <mergeCell ref="AA12:AE12"/>
    <mergeCell ref="D11:G11"/>
    <mergeCell ref="H11:J11"/>
    <mergeCell ref="K11:O11"/>
    <mergeCell ref="P11:S11"/>
    <mergeCell ref="T11:Z11"/>
    <mergeCell ref="AA11:AE11"/>
    <mergeCell ref="D7:G7"/>
    <mergeCell ref="H7:J7"/>
    <mergeCell ref="K7:O7"/>
    <mergeCell ref="P7:S7"/>
    <mergeCell ref="T7:Z7"/>
    <mergeCell ref="AA7:AE7"/>
    <mergeCell ref="D6:G6"/>
    <mergeCell ref="H6:J6"/>
    <mergeCell ref="K6:O6"/>
    <mergeCell ref="P6:S6"/>
    <mergeCell ref="T6:Z6"/>
    <mergeCell ref="AA6:AE6"/>
    <mergeCell ref="C3:AE3"/>
    <mergeCell ref="C5:AE5"/>
    <mergeCell ref="B1:F1"/>
    <mergeCell ref="D10:G10"/>
    <mergeCell ref="H10:J10"/>
    <mergeCell ref="K10:O10"/>
    <mergeCell ref="P10:S10"/>
    <mergeCell ref="T10:Z10"/>
    <mergeCell ref="AA10:AE10"/>
    <mergeCell ref="D9:G9"/>
    <mergeCell ref="H9:J9"/>
    <mergeCell ref="K9:O9"/>
    <mergeCell ref="P9:S9"/>
    <mergeCell ref="T9:Z9"/>
    <mergeCell ref="AA9:AE9"/>
    <mergeCell ref="D8:G8"/>
    <mergeCell ref="H8:J8"/>
    <mergeCell ref="K8:O8"/>
    <mergeCell ref="P8:S8"/>
    <mergeCell ref="T8:Z8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5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4">
    <pageSetUpPr fitToPage="1"/>
  </sheetPr>
  <dimension ref="B1:AO107"/>
  <sheetViews>
    <sheetView showGridLines="0" showZeros="0" tabSelected="1" view="pageBreakPreview" zoomScale="70" zoomScaleNormal="70" zoomScaleSheetLayoutView="70" workbookViewId="0">
      <selection activeCell="O100" sqref="O100:S102"/>
    </sheetView>
  </sheetViews>
  <sheetFormatPr defaultColWidth="9.140625" defaultRowHeight="15"/>
  <cols>
    <col min="1" max="1" width="1.5703125" style="31" customWidth="1"/>
    <col min="2" max="2" width="1.7109375" style="31" customWidth="1"/>
    <col min="3" max="3" width="9" style="31" customWidth="1"/>
    <col min="4" max="4" width="10.28515625" style="31" customWidth="1"/>
    <col min="5" max="5" width="7.85546875" style="31" customWidth="1"/>
    <col min="6" max="13" width="5.7109375" style="31" customWidth="1"/>
    <col min="14" max="15" width="6.28515625" style="31" customWidth="1"/>
    <col min="16" max="19" width="5.7109375" style="31" customWidth="1"/>
    <col min="20" max="20" width="6.28515625" style="31" customWidth="1"/>
    <col min="21" max="26" width="5.7109375" style="31" customWidth="1"/>
    <col min="27" max="31" width="6.28515625" style="31" customWidth="1"/>
    <col min="32" max="32" width="2.7109375" style="31" customWidth="1"/>
    <col min="33" max="33" width="1.42578125" style="31" customWidth="1"/>
    <col min="34" max="34" width="9.140625" style="31"/>
    <col min="35" max="35" width="9.140625" style="31" hidden="1" customWidth="1"/>
    <col min="36" max="36" width="15.28515625" style="31" hidden="1" customWidth="1"/>
    <col min="37" max="37" width="13.28515625" style="31" hidden="1" customWidth="1"/>
    <col min="38" max="38" width="58.7109375" style="31" hidden="1" customWidth="1"/>
    <col min="39" max="39" width="76.7109375" style="31" hidden="1" customWidth="1"/>
    <col min="40" max="40" width="113" style="31" hidden="1" customWidth="1"/>
    <col min="41" max="41" width="19" style="31" hidden="1" customWidth="1"/>
    <col min="42" max="42" width="9.140625" style="31" customWidth="1"/>
    <col min="43" max="43" width="25.28515625" style="31" customWidth="1"/>
    <col min="44" max="16384" width="9.140625" style="31"/>
  </cols>
  <sheetData>
    <row r="1" spans="2:41" ht="8.25" customHeight="1" thickBot="1">
      <c r="B1" s="184"/>
      <c r="C1" s="185"/>
      <c r="D1" s="185"/>
      <c r="E1" s="185"/>
      <c r="F1" s="186"/>
    </row>
    <row r="2" spans="2:41" ht="11.25" customHeight="1" thickBot="1">
      <c r="B2" s="32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8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9"/>
    </row>
    <row r="3" spans="2:41" ht="30" customHeight="1">
      <c r="B3" s="72"/>
      <c r="C3" s="112"/>
      <c r="D3" s="27"/>
      <c r="E3" s="113"/>
      <c r="F3" s="289" t="s">
        <v>333</v>
      </c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89"/>
      <c r="Y3" s="289"/>
      <c r="Z3" s="289"/>
      <c r="AA3" s="289"/>
      <c r="AB3" s="289"/>
      <c r="AC3" s="289"/>
      <c r="AD3" s="289"/>
      <c r="AE3" s="290"/>
      <c r="AF3" s="1"/>
      <c r="AG3" s="69"/>
      <c r="AI3" s="66">
        <v>7.97</v>
      </c>
      <c r="AJ3" s="67" t="s">
        <v>158</v>
      </c>
      <c r="AK3" s="67" t="s">
        <v>183</v>
      </c>
      <c r="AL3" s="67" t="s">
        <v>172</v>
      </c>
      <c r="AM3" s="67" t="s">
        <v>173</v>
      </c>
      <c r="AN3" s="68" t="s">
        <v>174</v>
      </c>
      <c r="AO3" s="67" t="s">
        <v>210</v>
      </c>
    </row>
    <row r="4" spans="2:41" ht="18" customHeight="1">
      <c r="B4" s="72"/>
      <c r="C4" s="114"/>
      <c r="D4" s="2"/>
      <c r="E4" s="3"/>
      <c r="F4" s="291"/>
      <c r="G4" s="291"/>
      <c r="H4" s="291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291"/>
      <c r="AD4" s="291"/>
      <c r="AE4" s="292"/>
      <c r="AF4" s="73"/>
      <c r="AG4" s="69"/>
      <c r="AI4" s="70">
        <v>13.8</v>
      </c>
      <c r="AJ4" s="67" t="s">
        <v>159</v>
      </c>
      <c r="AK4" s="67" t="s">
        <v>321</v>
      </c>
      <c r="AL4" s="67" t="s">
        <v>176</v>
      </c>
      <c r="AM4" s="67" t="s">
        <v>177</v>
      </c>
      <c r="AN4" s="67" t="s">
        <v>178</v>
      </c>
      <c r="AO4" s="67" t="s">
        <v>211</v>
      </c>
    </row>
    <row r="5" spans="2:41" ht="32.25" customHeight="1" thickBot="1">
      <c r="B5" s="72"/>
      <c r="C5" s="115"/>
      <c r="D5" s="16"/>
      <c r="E5" s="116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  <c r="Y5" s="293"/>
      <c r="Z5" s="293"/>
      <c r="AA5" s="293"/>
      <c r="AB5" s="293"/>
      <c r="AC5" s="293"/>
      <c r="AD5" s="293"/>
      <c r="AE5" s="294"/>
      <c r="AF5" s="73"/>
      <c r="AG5" s="69"/>
      <c r="AI5" s="66">
        <v>19.920000000000002</v>
      </c>
      <c r="AK5" s="67" t="s">
        <v>175</v>
      </c>
      <c r="AL5" s="67" t="s">
        <v>180</v>
      </c>
      <c r="AM5" s="67" t="s">
        <v>181</v>
      </c>
      <c r="AN5" s="67" t="s">
        <v>208</v>
      </c>
      <c r="AO5" s="67"/>
    </row>
    <row r="6" spans="2:41" ht="9.9499999999999993" customHeight="1" thickBot="1">
      <c r="B6" s="72"/>
      <c r="C6" s="2"/>
      <c r="D6" s="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90"/>
      <c r="T6" s="90"/>
      <c r="U6" s="90"/>
      <c r="V6" s="90"/>
      <c r="W6" s="90"/>
      <c r="X6" s="5"/>
      <c r="Y6" s="2"/>
      <c r="Z6" s="95"/>
      <c r="AA6" s="95"/>
      <c r="AB6" s="74"/>
      <c r="AC6" s="74"/>
      <c r="AD6" s="74"/>
      <c r="AE6" s="74"/>
      <c r="AF6" s="73"/>
      <c r="AG6" s="69"/>
      <c r="AI6" s="158">
        <v>23.1</v>
      </c>
      <c r="AK6" s="67" t="s">
        <v>171</v>
      </c>
      <c r="AL6" s="67" t="s">
        <v>184</v>
      </c>
      <c r="AM6" s="67" t="s">
        <v>185</v>
      </c>
      <c r="AN6" s="67" t="s">
        <v>182</v>
      </c>
      <c r="AO6" s="67"/>
    </row>
    <row r="7" spans="2:41" ht="20.100000000000001" customHeight="1" thickBot="1">
      <c r="B7" s="72"/>
      <c r="C7" s="360" t="s">
        <v>170</v>
      </c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1"/>
      <c r="S7" s="361"/>
      <c r="T7" s="361"/>
      <c r="U7" s="361"/>
      <c r="V7" s="361"/>
      <c r="W7" s="361"/>
      <c r="X7" s="361"/>
      <c r="Y7" s="361"/>
      <c r="Z7" s="361"/>
      <c r="AA7" s="361"/>
      <c r="AB7" s="361"/>
      <c r="AC7" s="361"/>
      <c r="AD7" s="361"/>
      <c r="AE7" s="362"/>
      <c r="AF7" s="73"/>
      <c r="AG7" s="69"/>
      <c r="AI7" s="70">
        <v>34.5</v>
      </c>
      <c r="AJ7" s="67" t="s">
        <v>186</v>
      </c>
      <c r="AK7" s="67" t="s">
        <v>179</v>
      </c>
      <c r="AL7" s="67" t="s">
        <v>187</v>
      </c>
      <c r="AM7" s="67" t="s">
        <v>319</v>
      </c>
      <c r="AO7" s="67" t="s">
        <v>214</v>
      </c>
    </row>
    <row r="8" spans="2:41" ht="9.9499999999999993" customHeight="1">
      <c r="B8" s="72"/>
      <c r="C8" s="75"/>
      <c r="D8" s="6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73"/>
      <c r="AG8" s="69"/>
      <c r="AI8" s="66">
        <v>69</v>
      </c>
      <c r="AJ8" s="67" t="s">
        <v>188</v>
      </c>
      <c r="AK8" s="67" t="s">
        <v>322</v>
      </c>
      <c r="AL8" s="67" t="s">
        <v>189</v>
      </c>
      <c r="AM8" s="67" t="s">
        <v>320</v>
      </c>
      <c r="AN8" s="67" t="s">
        <v>213</v>
      </c>
      <c r="AO8" s="67" t="s">
        <v>215</v>
      </c>
    </row>
    <row r="9" spans="2:41" ht="20.100000000000001" customHeight="1">
      <c r="B9" s="72"/>
      <c r="C9" s="269" t="s">
        <v>141</v>
      </c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71"/>
      <c r="Q9" s="33"/>
      <c r="R9" s="383" t="s">
        <v>125</v>
      </c>
      <c r="S9" s="384"/>
      <c r="T9" s="384"/>
      <c r="U9" s="384"/>
      <c r="V9" s="384"/>
      <c r="W9" s="385"/>
      <c r="X9" s="46"/>
      <c r="Y9" s="383" t="s">
        <v>0</v>
      </c>
      <c r="Z9" s="384"/>
      <c r="AA9" s="384"/>
      <c r="AB9" s="385"/>
      <c r="AC9" s="323"/>
      <c r="AD9" s="306"/>
      <c r="AE9" s="307"/>
      <c r="AF9" s="73"/>
      <c r="AG9" s="69"/>
      <c r="AI9" s="66">
        <v>138</v>
      </c>
      <c r="AK9" s="67"/>
      <c r="AL9" s="67" t="s">
        <v>190</v>
      </c>
      <c r="AN9" s="67" t="s">
        <v>241</v>
      </c>
      <c r="AO9" s="67"/>
    </row>
    <row r="10" spans="2:41" ht="20.100000000000001" customHeight="1">
      <c r="B10" s="72"/>
      <c r="C10" s="378"/>
      <c r="D10" s="379"/>
      <c r="E10" s="379"/>
      <c r="F10" s="379"/>
      <c r="G10" s="379"/>
      <c r="H10" s="379"/>
      <c r="I10" s="379"/>
      <c r="J10" s="379"/>
      <c r="K10" s="379"/>
      <c r="L10" s="379"/>
      <c r="M10" s="379"/>
      <c r="N10" s="379"/>
      <c r="O10" s="379"/>
      <c r="P10" s="380"/>
      <c r="Q10" s="34"/>
      <c r="R10" s="286"/>
      <c r="S10" s="287"/>
      <c r="T10" s="287"/>
      <c r="U10" s="287"/>
      <c r="V10" s="287"/>
      <c r="W10" s="288"/>
      <c r="X10" s="46"/>
      <c r="Y10" s="302" t="s">
        <v>1</v>
      </c>
      <c r="Z10" s="303"/>
      <c r="AA10" s="303"/>
      <c r="AB10" s="304"/>
      <c r="AC10" s="305"/>
      <c r="AD10" s="306"/>
      <c r="AE10" s="307"/>
      <c r="AF10" s="73"/>
      <c r="AG10" s="69"/>
      <c r="AI10" s="66"/>
      <c r="AJ10" s="67">
        <v>220</v>
      </c>
      <c r="AK10" s="67"/>
      <c r="AL10" s="67" t="s">
        <v>191</v>
      </c>
      <c r="AM10" s="67" t="s">
        <v>160</v>
      </c>
      <c r="AN10" s="67" t="s">
        <v>242</v>
      </c>
      <c r="AO10" s="67" t="s">
        <v>165</v>
      </c>
    </row>
    <row r="11" spans="2:41" ht="9.9499999999999993" customHeight="1">
      <c r="B11" s="72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34"/>
      <c r="R11" s="35"/>
      <c r="S11" s="35"/>
      <c r="T11" s="35"/>
      <c r="U11" s="35"/>
      <c r="V11" s="35"/>
      <c r="W11" s="35"/>
      <c r="X11" s="46"/>
      <c r="Y11" s="2"/>
      <c r="Z11" s="8"/>
      <c r="AA11" s="8"/>
      <c r="AB11" s="36"/>
      <c r="AC11" s="37"/>
      <c r="AD11" s="37"/>
      <c r="AE11" s="37"/>
      <c r="AF11" s="73"/>
      <c r="AG11" s="69"/>
      <c r="AI11" s="66"/>
      <c r="AJ11" s="67">
        <v>380</v>
      </c>
      <c r="AK11" s="67"/>
      <c r="AL11" s="67"/>
      <c r="AM11" s="67" t="s">
        <v>162</v>
      </c>
      <c r="AN11" s="67" t="s">
        <v>243</v>
      </c>
      <c r="AO11" s="67" t="s">
        <v>166</v>
      </c>
    </row>
    <row r="12" spans="2:41" ht="20.100000000000001" customHeight="1">
      <c r="B12" s="72"/>
      <c r="C12" s="269" t="s">
        <v>123</v>
      </c>
      <c r="D12" s="270"/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1"/>
      <c r="Q12" s="34"/>
      <c r="R12" s="269" t="s">
        <v>199</v>
      </c>
      <c r="S12" s="270"/>
      <c r="T12" s="270"/>
      <c r="U12" s="270"/>
      <c r="V12" s="270"/>
      <c r="W12" s="270"/>
      <c r="X12" s="270"/>
      <c r="Y12" s="270"/>
      <c r="Z12" s="270"/>
      <c r="AA12" s="270"/>
      <c r="AB12" s="270"/>
      <c r="AC12" s="270"/>
      <c r="AD12" s="270"/>
      <c r="AE12" s="271"/>
      <c r="AF12" s="73"/>
      <c r="AG12" s="69"/>
      <c r="AI12" s="66"/>
      <c r="AK12" s="67"/>
      <c r="AL12" s="67" t="s">
        <v>193</v>
      </c>
      <c r="AM12" s="67" t="s">
        <v>163</v>
      </c>
      <c r="AN12" s="67" t="s">
        <v>244</v>
      </c>
      <c r="AO12" s="67" t="s">
        <v>167</v>
      </c>
    </row>
    <row r="13" spans="2:41" ht="20.100000000000001" customHeight="1">
      <c r="B13" s="72"/>
      <c r="C13" s="378"/>
      <c r="D13" s="379"/>
      <c r="E13" s="379"/>
      <c r="F13" s="379"/>
      <c r="G13" s="379"/>
      <c r="H13" s="379"/>
      <c r="I13" s="379"/>
      <c r="J13" s="379"/>
      <c r="K13" s="379"/>
      <c r="L13" s="379"/>
      <c r="M13" s="379"/>
      <c r="N13" s="379"/>
      <c r="O13" s="379"/>
      <c r="P13" s="380"/>
      <c r="Q13" s="34"/>
      <c r="R13" s="316" t="s">
        <v>200</v>
      </c>
      <c r="S13" s="317"/>
      <c r="T13" s="323"/>
      <c r="U13" s="306"/>
      <c r="V13" s="306"/>
      <c r="W13" s="306"/>
      <c r="X13" s="306"/>
      <c r="Y13" s="307"/>
      <c r="Z13" s="316" t="s">
        <v>201</v>
      </c>
      <c r="AA13" s="317"/>
      <c r="AB13" s="323"/>
      <c r="AC13" s="306"/>
      <c r="AD13" s="306"/>
      <c r="AE13" s="307"/>
      <c r="AF13" s="73"/>
      <c r="AG13" s="69"/>
      <c r="AI13" s="66"/>
      <c r="AJ13" s="67" t="s">
        <v>195</v>
      </c>
      <c r="AK13" s="67"/>
      <c r="AL13" s="67" t="s">
        <v>161</v>
      </c>
      <c r="AM13" s="67" t="s">
        <v>192</v>
      </c>
      <c r="AO13" s="67" t="s">
        <v>168</v>
      </c>
    </row>
    <row r="14" spans="2:41" ht="9.9499999999999993" customHeight="1">
      <c r="B14" s="72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34"/>
      <c r="R14" s="38"/>
      <c r="S14" s="38"/>
      <c r="T14" s="38"/>
      <c r="U14" s="38"/>
      <c r="V14" s="39"/>
      <c r="W14" s="39"/>
      <c r="X14" s="39"/>
      <c r="Y14" s="39"/>
      <c r="Z14" s="39"/>
      <c r="AA14" s="38"/>
      <c r="AB14" s="38"/>
      <c r="AC14" s="38"/>
      <c r="AD14" s="38"/>
      <c r="AE14" s="38"/>
      <c r="AF14" s="73"/>
      <c r="AG14" s="69"/>
      <c r="AI14" s="66"/>
      <c r="AJ14" s="67" t="s">
        <v>197</v>
      </c>
      <c r="AK14" s="67"/>
      <c r="AL14" s="67" t="s">
        <v>164</v>
      </c>
      <c r="AM14" s="67" t="s">
        <v>194</v>
      </c>
      <c r="AO14" s="67" t="s">
        <v>169</v>
      </c>
    </row>
    <row r="15" spans="2:41" ht="19.5" customHeight="1">
      <c r="B15" s="72"/>
      <c r="C15" s="9" t="s">
        <v>124</v>
      </c>
      <c r="D15" s="381"/>
      <c r="E15" s="382"/>
      <c r="F15" s="10"/>
      <c r="G15" s="314" t="s">
        <v>202</v>
      </c>
      <c r="H15" s="314"/>
      <c r="I15" s="315"/>
      <c r="J15" s="315"/>
      <c r="K15" s="315"/>
      <c r="L15" s="315"/>
      <c r="M15" s="10"/>
      <c r="N15" s="314" t="s">
        <v>203</v>
      </c>
      <c r="O15" s="314"/>
      <c r="P15" s="314"/>
      <c r="Q15" s="386"/>
      <c r="R15" s="387"/>
      <c r="S15" s="69"/>
      <c r="T15" s="388" t="s">
        <v>5</v>
      </c>
      <c r="U15" s="389"/>
      <c r="V15" s="390"/>
      <c r="W15" s="391"/>
      <c r="X15" s="391"/>
      <c r="Y15" s="391"/>
      <c r="Z15" s="391"/>
      <c r="AA15" s="391"/>
      <c r="AB15" s="391"/>
      <c r="AC15" s="391"/>
      <c r="AD15" s="391"/>
      <c r="AE15" s="392"/>
      <c r="AF15" s="73"/>
      <c r="AG15" s="69"/>
      <c r="AI15" s="66"/>
      <c r="AJ15" s="67"/>
      <c r="AK15" s="67"/>
      <c r="AL15" s="67" t="s">
        <v>198</v>
      </c>
      <c r="AM15" s="67" t="s">
        <v>196</v>
      </c>
      <c r="AN15" s="67"/>
      <c r="AO15" s="67" t="s">
        <v>281</v>
      </c>
    </row>
    <row r="16" spans="2:41" ht="9.9499999999999993" customHeight="1">
      <c r="B16" s="7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34"/>
      <c r="R16" s="38"/>
      <c r="S16" s="38"/>
      <c r="T16" s="38"/>
      <c r="U16" s="38"/>
      <c r="V16" s="39"/>
      <c r="W16" s="39"/>
      <c r="X16" s="39"/>
      <c r="Y16" s="39"/>
      <c r="Z16" s="39"/>
      <c r="AA16" s="38"/>
      <c r="AB16" s="38"/>
      <c r="AC16" s="38"/>
      <c r="AD16" s="38"/>
      <c r="AE16" s="38"/>
      <c r="AF16" s="73"/>
      <c r="AG16" s="69"/>
      <c r="AI16" s="66"/>
      <c r="AJ16" s="67"/>
      <c r="AK16" s="67"/>
      <c r="AL16" s="67"/>
      <c r="AM16" s="67"/>
      <c r="AN16" s="67"/>
    </row>
    <row r="17" spans="2:41" ht="20.100000000000001" customHeight="1">
      <c r="B17" s="72"/>
      <c r="C17" s="269" t="s">
        <v>212</v>
      </c>
      <c r="D17" s="270"/>
      <c r="E17" s="270"/>
      <c r="F17" s="271"/>
      <c r="G17" s="318"/>
      <c r="H17" s="319"/>
      <c r="I17" s="319"/>
      <c r="J17" s="319"/>
      <c r="K17" s="319"/>
      <c r="L17" s="319"/>
      <c r="M17" s="319"/>
      <c r="N17" s="319"/>
      <c r="O17" s="319"/>
      <c r="P17" s="319"/>
      <c r="Q17" s="319"/>
      <c r="R17" s="319"/>
      <c r="S17" s="319"/>
      <c r="T17" s="319"/>
      <c r="U17" s="319"/>
      <c r="V17" s="319"/>
      <c r="W17" s="319"/>
      <c r="X17" s="319"/>
      <c r="Y17" s="319"/>
      <c r="Z17" s="319"/>
      <c r="AA17" s="319"/>
      <c r="AB17" s="319"/>
      <c r="AC17" s="319"/>
      <c r="AD17" s="319"/>
      <c r="AE17" s="320"/>
      <c r="AF17" s="1"/>
      <c r="AG17" s="69"/>
      <c r="AJ17" s="67"/>
      <c r="AK17" s="67"/>
      <c r="AL17" s="67"/>
      <c r="AM17" s="67"/>
      <c r="AO17" s="67"/>
    </row>
    <row r="18" spans="2:41" ht="9.9499999999999993" customHeight="1">
      <c r="B18" s="7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34"/>
      <c r="R18" s="38"/>
      <c r="S18" s="38"/>
      <c r="T18" s="38"/>
      <c r="U18" s="38"/>
      <c r="V18" s="39"/>
      <c r="W18" s="39"/>
      <c r="X18" s="39"/>
      <c r="Y18" s="39"/>
      <c r="Z18" s="39"/>
      <c r="AA18" s="38"/>
      <c r="AB18" s="38"/>
      <c r="AC18" s="38"/>
      <c r="AD18" s="38"/>
      <c r="AE18" s="38"/>
      <c r="AF18" s="1"/>
      <c r="AG18" s="69"/>
      <c r="AJ18" s="67"/>
      <c r="AK18" s="67"/>
      <c r="AL18" s="67"/>
      <c r="AM18" s="67"/>
      <c r="AO18" s="67"/>
    </row>
    <row r="19" spans="2:41" ht="20.100000000000001" customHeight="1">
      <c r="B19" s="72"/>
      <c r="C19" s="327" t="str">
        <f>IF(G17="","",IF(G17="LIGAÇÃO NOVA DE UNIDADE CONSUMIDORA COM GERAÇÃO DISTRIBUÍDA (ver item abaixo)","Apresentar documentos conforme CAMPO 5, incluíndo os itens 10 e 11 ou 12",IF(G17="CONEXÃO DE GD EM UNIDADE CONSUMIDORA EXISTENTE COM AUMENTO DE POTÊNCIA DISPONIBILIZADA (ver item abaixo)","Informar a conta contrato e apresentar documentos conforme CAMPO 5, incluindo os itens 10 e 11 ou 12",IF(G17="CONEXÃO DE GD EM UNIDADE CONSUMIDORA EXISTENTE SEM AUMENTO DE POTÊNCIA DISPONIBILIZADA (ver item abaixo)","Informar a conta contrato e apresentar documentos conforme CAMPO 5",IF(G17="CONEXÃO DE GD EM UNIDADE CONSUMIDORA EXISTENTE COM REDUÇÃO DE POTÊNCIA DISPONIBILIZADA (ver item abaixo)","Informar a conta contrato e apresentar documentos conforme CAMPO 5, incluindo item 11 ou 12","")))))</f>
        <v/>
      </c>
      <c r="D19" s="328"/>
      <c r="E19" s="328"/>
      <c r="F19" s="328"/>
      <c r="G19" s="328"/>
      <c r="H19" s="328"/>
      <c r="I19" s="328"/>
      <c r="J19" s="328"/>
      <c r="K19" s="328"/>
      <c r="L19" s="328"/>
      <c r="M19" s="328"/>
      <c r="N19" s="328"/>
      <c r="O19" s="328"/>
      <c r="P19" s="328"/>
      <c r="Q19" s="328"/>
      <c r="R19" s="328"/>
      <c r="S19" s="328"/>
      <c r="T19" s="329"/>
      <c r="U19" s="69"/>
      <c r="V19" s="269" t="s">
        <v>204</v>
      </c>
      <c r="W19" s="270"/>
      <c r="X19" s="270"/>
      <c r="Y19" s="270"/>
      <c r="Z19" s="270"/>
      <c r="AA19" s="271"/>
      <c r="AB19" s="333"/>
      <c r="AC19" s="334"/>
      <c r="AD19" s="334"/>
      <c r="AE19" s="335"/>
      <c r="AF19" s="1"/>
      <c r="AG19" s="69"/>
      <c r="AI19" s="67"/>
      <c r="AJ19" s="67"/>
      <c r="AK19" s="67"/>
      <c r="AL19" s="67"/>
      <c r="AM19" s="67"/>
      <c r="AO19" s="67"/>
    </row>
    <row r="20" spans="2:41" ht="9.9499999999999993" customHeight="1">
      <c r="B20" s="72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34"/>
      <c r="R20" s="40"/>
      <c r="S20" s="40"/>
      <c r="T20" s="40"/>
      <c r="U20" s="40"/>
      <c r="V20" s="41"/>
      <c r="W20" s="41"/>
      <c r="X20" s="41"/>
      <c r="Y20" s="41"/>
      <c r="Z20" s="41"/>
      <c r="AA20" s="40"/>
      <c r="AB20" s="40"/>
      <c r="AC20" s="40"/>
      <c r="AD20" s="40"/>
      <c r="AE20" s="40"/>
      <c r="AF20" s="1"/>
      <c r="AG20" s="69"/>
      <c r="AI20" s="67"/>
      <c r="AJ20" s="67"/>
      <c r="AK20" s="67"/>
      <c r="AL20" s="67"/>
      <c r="AM20" s="67"/>
      <c r="AO20" s="67"/>
    </row>
    <row r="21" spans="2:41" ht="20.100000000000001" customHeight="1">
      <c r="B21" s="72"/>
      <c r="C21" s="269" t="s">
        <v>205</v>
      </c>
      <c r="D21" s="270"/>
      <c r="E21" s="270"/>
      <c r="F21" s="271"/>
      <c r="G21" s="283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5"/>
      <c r="V21" s="269" t="s">
        <v>207</v>
      </c>
      <c r="W21" s="270"/>
      <c r="X21" s="271"/>
      <c r="Y21" s="330"/>
      <c r="Z21" s="331"/>
      <c r="AA21" s="331"/>
      <c r="AB21" s="331"/>
      <c r="AC21" s="331"/>
      <c r="AD21" s="331"/>
      <c r="AE21" s="332"/>
      <c r="AF21" s="1"/>
      <c r="AG21" s="69"/>
      <c r="AI21" s="67"/>
      <c r="AJ21" s="67"/>
      <c r="AK21" s="67"/>
      <c r="AL21" s="67"/>
      <c r="AM21" s="67"/>
      <c r="AN21" s="67"/>
      <c r="AO21" s="67"/>
    </row>
    <row r="22" spans="2:41" ht="9.9499999999999993" customHeight="1">
      <c r="B22" s="72"/>
      <c r="C22" s="43"/>
      <c r="D22" s="43"/>
      <c r="E22" s="43"/>
      <c r="F22" s="2"/>
      <c r="G22" s="44"/>
      <c r="H22" s="11"/>
      <c r="I22" s="2"/>
      <c r="J22" s="42"/>
      <c r="K22" s="2"/>
      <c r="L22" s="2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1"/>
      <c r="AG22" s="69"/>
      <c r="AI22" s="67"/>
      <c r="AJ22" s="67"/>
      <c r="AK22" s="67"/>
      <c r="AL22" s="67"/>
      <c r="AM22" s="67"/>
      <c r="AN22" s="67"/>
      <c r="AO22" s="67"/>
    </row>
    <row r="23" spans="2:41" ht="20.100000000000001" customHeight="1">
      <c r="B23" s="72"/>
      <c r="C23" s="269" t="s">
        <v>282</v>
      </c>
      <c r="D23" s="271"/>
      <c r="E23" s="105"/>
      <c r="G23" s="324" t="s">
        <v>206</v>
      </c>
      <c r="H23" s="325"/>
      <c r="I23" s="325"/>
      <c r="J23" s="326"/>
      <c r="K23" s="105"/>
      <c r="M23" s="269" t="s">
        <v>283</v>
      </c>
      <c r="N23" s="270"/>
      <c r="O23" s="270"/>
      <c r="P23" s="271"/>
      <c r="Q23" s="333"/>
      <c r="R23" s="334"/>
      <c r="S23" s="334"/>
      <c r="T23" s="334"/>
      <c r="U23" s="334"/>
      <c r="V23" s="334"/>
      <c r="W23" s="334"/>
      <c r="X23" s="334"/>
      <c r="Y23" s="334"/>
      <c r="Z23" s="334"/>
      <c r="AA23" s="334"/>
      <c r="AB23" s="334"/>
      <c r="AC23" s="334"/>
      <c r="AD23" s="334"/>
      <c r="AE23" s="335"/>
      <c r="AF23" s="1"/>
      <c r="AG23" s="69"/>
      <c r="AI23" s="67"/>
      <c r="AJ23" s="67"/>
      <c r="AK23" s="67"/>
      <c r="AL23" s="67"/>
      <c r="AM23" s="67"/>
      <c r="AN23" s="67"/>
      <c r="AO23" s="67"/>
    </row>
    <row r="24" spans="2:41" ht="9.9499999999999993" customHeight="1">
      <c r="B24" s="72"/>
      <c r="C24" s="43"/>
      <c r="D24" s="43"/>
      <c r="E24" s="43"/>
      <c r="F24" s="2"/>
      <c r="G24" s="44"/>
      <c r="H24" s="11"/>
      <c r="I24" s="2"/>
      <c r="J24" s="42"/>
      <c r="K24" s="2"/>
      <c r="L24" s="2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1"/>
      <c r="AG24" s="69"/>
      <c r="AI24" s="67"/>
      <c r="AJ24" s="67"/>
      <c r="AK24" s="67"/>
      <c r="AL24" s="67"/>
      <c r="AM24" s="67"/>
      <c r="AN24" s="67"/>
      <c r="AO24" s="67"/>
    </row>
    <row r="25" spans="2:41" ht="20.100000000000001" customHeight="1">
      <c r="B25" s="72"/>
      <c r="C25" s="269" t="s">
        <v>248</v>
      </c>
      <c r="D25" s="270"/>
      <c r="E25" s="270"/>
      <c r="F25" s="270"/>
      <c r="G25" s="270"/>
      <c r="H25" s="271"/>
      <c r="I25" s="311"/>
      <c r="J25" s="313"/>
      <c r="L25" s="269" t="s">
        <v>246</v>
      </c>
      <c r="M25" s="270"/>
      <c r="N25" s="270"/>
      <c r="O25" s="270"/>
      <c r="P25" s="410"/>
      <c r="Q25" s="411"/>
      <c r="R25" s="71" t="s">
        <v>209</v>
      </c>
      <c r="S25" s="321" t="str">
        <f>IFERROR(P25/I25,"")</f>
        <v/>
      </c>
      <c r="T25" s="322"/>
      <c r="U25" s="71" t="s">
        <v>58</v>
      </c>
      <c r="W25" s="269" t="s">
        <v>247</v>
      </c>
      <c r="X25" s="270"/>
      <c r="Y25" s="271"/>
      <c r="Z25" s="410"/>
      <c r="AA25" s="411"/>
      <c r="AB25" s="71" t="s">
        <v>209</v>
      </c>
      <c r="AC25" s="321" t="str">
        <f>IFERROR(Z25/I25,"")</f>
        <v/>
      </c>
      <c r="AD25" s="322"/>
      <c r="AE25" s="71" t="s">
        <v>58</v>
      </c>
      <c r="AF25" s="1"/>
      <c r="AG25" s="69"/>
      <c r="AI25" s="67"/>
      <c r="AJ25" s="67"/>
      <c r="AK25" s="67"/>
      <c r="AL25" s="67"/>
      <c r="AM25" s="67"/>
      <c r="AN25" s="67"/>
      <c r="AO25" s="67"/>
    </row>
    <row r="26" spans="2:41" ht="9.9499999999999993" customHeight="1">
      <c r="B26" s="72"/>
      <c r="C26" s="43"/>
      <c r="D26" s="43"/>
      <c r="E26" s="43"/>
      <c r="F26" s="2"/>
      <c r="G26" s="44"/>
      <c r="H26" s="11"/>
      <c r="I26" s="2"/>
      <c r="J26" s="42"/>
      <c r="K26" s="2"/>
      <c r="L26" s="2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1"/>
      <c r="AG26" s="69"/>
      <c r="AI26" s="67"/>
      <c r="AJ26" s="67"/>
      <c r="AK26" s="67"/>
      <c r="AL26" s="67"/>
      <c r="AM26" s="67"/>
      <c r="AN26" s="67"/>
      <c r="AO26" s="67"/>
    </row>
    <row r="27" spans="2:41" ht="20.100000000000001" customHeight="1">
      <c r="B27" s="72"/>
      <c r="C27" s="295" t="s">
        <v>245</v>
      </c>
      <c r="D27" s="296"/>
      <c r="E27" s="296"/>
      <c r="F27" s="297"/>
      <c r="G27" s="311"/>
      <c r="H27" s="312"/>
      <c r="I27" s="312"/>
      <c r="J27" s="312"/>
      <c r="K27" s="312"/>
      <c r="L27" s="312"/>
      <c r="M27" s="313"/>
      <c r="O27" s="324" t="s">
        <v>249</v>
      </c>
      <c r="P27" s="325"/>
      <c r="Q27" s="325"/>
      <c r="R27" s="325"/>
      <c r="S27" s="326"/>
      <c r="T27" s="311"/>
      <c r="U27" s="312"/>
      <c r="V27" s="313"/>
      <c r="X27" s="269" t="s">
        <v>250</v>
      </c>
      <c r="Y27" s="270"/>
      <c r="Z27" s="270"/>
      <c r="AA27" s="270"/>
      <c r="AB27" s="271"/>
      <c r="AC27" s="412"/>
      <c r="AD27" s="413"/>
      <c r="AE27" s="86" t="s">
        <v>24</v>
      </c>
      <c r="AF27" s="1"/>
      <c r="AG27" s="69"/>
      <c r="AI27" s="67"/>
      <c r="AJ27" s="67"/>
      <c r="AK27" s="67"/>
      <c r="AL27" s="67"/>
      <c r="AM27" s="67"/>
      <c r="AN27" s="67"/>
      <c r="AO27" s="67"/>
    </row>
    <row r="28" spans="2:41" ht="9.9499999999999993" customHeight="1">
      <c r="B28" s="72"/>
      <c r="C28" s="43"/>
      <c r="D28" s="43"/>
      <c r="E28" s="43"/>
      <c r="F28" s="2"/>
      <c r="G28" s="44"/>
      <c r="H28" s="11"/>
      <c r="I28" s="2"/>
      <c r="J28" s="42"/>
      <c r="K28" s="2"/>
      <c r="L28" s="2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1"/>
      <c r="AG28" s="69"/>
      <c r="AI28" s="67"/>
      <c r="AJ28" s="67"/>
      <c r="AK28" s="67"/>
      <c r="AL28" s="67"/>
      <c r="AM28" s="67"/>
      <c r="AN28" s="67"/>
      <c r="AO28" s="67"/>
    </row>
    <row r="29" spans="2:41" ht="19.5" customHeight="1">
      <c r="B29" s="72"/>
      <c r="C29" s="269" t="s">
        <v>217</v>
      </c>
      <c r="D29" s="270"/>
      <c r="E29" s="270"/>
      <c r="F29" s="311"/>
      <c r="G29" s="313"/>
      <c r="I29" s="269" t="s">
        <v>216</v>
      </c>
      <c r="J29" s="270"/>
      <c r="K29" s="270"/>
      <c r="L29" s="271"/>
      <c r="M29" s="82" t="s">
        <v>218</v>
      </c>
      <c r="N29" s="402"/>
      <c r="O29" s="402"/>
      <c r="P29" s="71" t="s">
        <v>209</v>
      </c>
      <c r="Q29" s="82" t="s">
        <v>219</v>
      </c>
      <c r="R29" s="402"/>
      <c r="S29" s="402"/>
      <c r="T29" s="71" t="s">
        <v>209</v>
      </c>
      <c r="V29" s="383" t="s">
        <v>220</v>
      </c>
      <c r="W29" s="384"/>
      <c r="X29" s="384"/>
      <c r="Y29" s="384"/>
      <c r="Z29" s="385"/>
      <c r="AA29" s="399"/>
      <c r="AB29" s="400"/>
      <c r="AC29" s="400"/>
      <c r="AD29" s="400"/>
      <c r="AE29" s="401"/>
      <c r="AF29" s="1"/>
      <c r="AG29" s="69"/>
      <c r="AI29" s="67"/>
      <c r="AJ29" s="67"/>
      <c r="AK29" s="67"/>
      <c r="AL29" s="67"/>
      <c r="AM29" s="67"/>
      <c r="AN29" s="67"/>
      <c r="AO29" s="67"/>
    </row>
    <row r="30" spans="2:41" ht="9.9499999999999993" customHeight="1">
      <c r="B30" s="72"/>
      <c r="C30" s="10"/>
      <c r="D30" s="88"/>
      <c r="E30" s="88"/>
      <c r="F30" s="88"/>
      <c r="G30" s="10"/>
      <c r="H30" s="88"/>
      <c r="I30" s="88"/>
      <c r="J30" s="88"/>
      <c r="K30" s="88"/>
      <c r="L30" s="87"/>
      <c r="M30" s="87"/>
      <c r="N30" s="87"/>
      <c r="O30" s="10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1"/>
      <c r="AG30" s="69"/>
      <c r="AI30" s="67"/>
      <c r="AJ30" s="67"/>
      <c r="AK30" s="67"/>
      <c r="AL30" s="67"/>
      <c r="AM30" s="67"/>
      <c r="AN30" s="67"/>
      <c r="AO30" s="67"/>
    </row>
    <row r="31" spans="2:41" ht="19.5" customHeight="1">
      <c r="B31" s="72"/>
      <c r="C31" s="324" t="s">
        <v>266</v>
      </c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6"/>
      <c r="T31" s="301"/>
      <c r="U31" s="301"/>
      <c r="V31" s="301"/>
      <c r="W31" s="301"/>
      <c r="X31" s="301"/>
      <c r="Y31" s="301"/>
      <c r="Z31" s="301"/>
      <c r="AA31" s="301"/>
      <c r="AB31" s="301"/>
      <c r="AC31" s="301"/>
      <c r="AD31" s="301"/>
      <c r="AE31" s="301"/>
      <c r="AF31" s="1"/>
      <c r="AG31" s="69"/>
      <c r="AI31" s="67"/>
      <c r="AJ31" s="67"/>
      <c r="AK31" s="67"/>
      <c r="AL31" s="67"/>
      <c r="AM31" s="67"/>
      <c r="AN31" s="67"/>
      <c r="AO31" s="67"/>
    </row>
    <row r="32" spans="2:41" ht="9.9499999999999993" customHeight="1">
      <c r="B32" s="72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7"/>
      <c r="N32" s="94"/>
      <c r="O32" s="94"/>
      <c r="P32" s="94"/>
      <c r="Q32" s="94"/>
      <c r="R32" s="88"/>
      <c r="S32" s="88"/>
      <c r="T32" s="88"/>
      <c r="U32" s="88"/>
      <c r="V32" s="95"/>
      <c r="W32" s="95"/>
      <c r="X32" s="95"/>
      <c r="Y32" s="95"/>
      <c r="Z32" s="95"/>
      <c r="AA32" s="88"/>
      <c r="AB32" s="88"/>
      <c r="AC32" s="88"/>
      <c r="AD32" s="88"/>
      <c r="AE32" s="88"/>
      <c r="AF32" s="1"/>
      <c r="AG32" s="69"/>
    </row>
    <row r="33" spans="2:33" ht="20.100000000000001" customHeight="1">
      <c r="B33" s="72"/>
      <c r="C33" s="370" t="str">
        <f>IF(Q15="PA",AM3,IF(Q15="MA",AM4,IF(Q15="PI",AM5,IF(Q15="AL",AM6,IF(Q15="RS",AM7,IF(Q15="AP",AM8,"O conteúdo deste campo será exibido quando for selecionada a UF"))))))</f>
        <v>O conteúdo deste campo será exibido quando for selecionada a UF</v>
      </c>
      <c r="D33" s="371"/>
      <c r="E33" s="371"/>
      <c r="F33" s="371"/>
      <c r="G33" s="371"/>
      <c r="H33" s="371"/>
      <c r="I33" s="371"/>
      <c r="J33" s="371"/>
      <c r="K33" s="371"/>
      <c r="L33" s="371"/>
      <c r="M33" s="371"/>
      <c r="N33" s="372"/>
      <c r="O33" s="83" t="s">
        <v>144</v>
      </c>
      <c r="P33" s="373"/>
      <c r="Q33" s="374"/>
      <c r="R33" s="374"/>
      <c r="S33" s="374"/>
      <c r="T33" s="374"/>
      <c r="U33" s="374"/>
      <c r="V33" s="374"/>
      <c r="W33" s="375"/>
      <c r="X33" s="91" t="s">
        <v>145</v>
      </c>
      <c r="Y33" s="376"/>
      <c r="Z33" s="376"/>
      <c r="AA33" s="376"/>
      <c r="AB33" s="376"/>
      <c r="AC33" s="376"/>
      <c r="AD33" s="376"/>
      <c r="AE33" s="377"/>
      <c r="AF33" s="1"/>
      <c r="AG33" s="69"/>
    </row>
    <row r="34" spans="2:33">
      <c r="B34" s="72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7"/>
      <c r="N34" s="94"/>
      <c r="O34" s="94"/>
      <c r="P34" s="94"/>
      <c r="Q34" s="94"/>
      <c r="R34" s="88"/>
      <c r="S34" s="88"/>
      <c r="T34" s="88"/>
      <c r="U34" s="88"/>
      <c r="V34" s="95"/>
      <c r="W34" s="95"/>
      <c r="X34" s="95"/>
      <c r="Y34" s="95"/>
      <c r="Z34" s="95"/>
      <c r="AA34" s="88"/>
      <c r="AB34" s="88"/>
      <c r="AC34" s="88"/>
      <c r="AD34" s="88"/>
      <c r="AE34" s="88"/>
      <c r="AF34" s="1"/>
      <c r="AG34" s="69"/>
    </row>
    <row r="35" spans="2:33" ht="21" customHeight="1">
      <c r="B35" s="72"/>
      <c r="C35" s="269" t="s">
        <v>316</v>
      </c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271"/>
      <c r="Q35" s="33"/>
      <c r="R35" s="415" t="s">
        <v>317</v>
      </c>
      <c r="S35" s="415"/>
      <c r="T35" s="415"/>
      <c r="U35" s="415"/>
      <c r="V35" s="415"/>
      <c r="W35" s="415"/>
      <c r="Y35" s="415" t="s">
        <v>318</v>
      </c>
      <c r="Z35" s="415"/>
      <c r="AA35" s="415"/>
      <c r="AB35" s="415"/>
      <c r="AC35" s="415"/>
      <c r="AD35" s="415"/>
      <c r="AE35" s="415"/>
      <c r="AF35" s="1"/>
      <c r="AG35" s="69"/>
    </row>
    <row r="36" spans="2:33" ht="18.95" customHeight="1">
      <c r="B36" s="72"/>
      <c r="C36" s="416"/>
      <c r="D36" s="416"/>
      <c r="E36" s="416"/>
      <c r="F36" s="416"/>
      <c r="G36" s="416"/>
      <c r="H36" s="416"/>
      <c r="I36" s="416"/>
      <c r="J36" s="416"/>
      <c r="K36" s="416"/>
      <c r="L36" s="416"/>
      <c r="M36" s="416"/>
      <c r="N36" s="416"/>
      <c r="O36" s="416"/>
      <c r="P36" s="416"/>
      <c r="Q36" s="34"/>
      <c r="R36" s="416"/>
      <c r="S36" s="416"/>
      <c r="T36" s="416"/>
      <c r="U36" s="416"/>
      <c r="V36" s="416"/>
      <c r="W36" s="416"/>
      <c r="Y36" s="323"/>
      <c r="Z36" s="306"/>
      <c r="AA36" s="306"/>
      <c r="AB36" s="306"/>
      <c r="AC36" s="306"/>
      <c r="AD36" s="306"/>
      <c r="AE36" s="307"/>
      <c r="AF36" s="1"/>
      <c r="AG36" s="69"/>
    </row>
    <row r="37" spans="2:33" ht="12" customHeight="1" thickBot="1">
      <c r="B37" s="72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7"/>
      <c r="N37" s="94"/>
      <c r="O37" s="94"/>
      <c r="P37" s="94"/>
      <c r="Q37" s="94"/>
      <c r="R37" s="88"/>
      <c r="S37" s="88"/>
      <c r="T37" s="88"/>
      <c r="U37" s="88"/>
      <c r="V37" s="95"/>
      <c r="W37" s="95"/>
      <c r="X37" s="95"/>
      <c r="Y37" s="95"/>
      <c r="Z37" s="95"/>
      <c r="AA37" s="88"/>
      <c r="AB37" s="88"/>
      <c r="AC37" s="88"/>
      <c r="AD37" s="88"/>
      <c r="AE37" s="88"/>
      <c r="AF37" s="1"/>
      <c r="AG37" s="69"/>
    </row>
    <row r="38" spans="2:33" ht="20.100000000000001" customHeight="1" thickBot="1">
      <c r="B38" s="72"/>
      <c r="C38" s="360" t="s">
        <v>2</v>
      </c>
      <c r="D38" s="361"/>
      <c r="E38" s="361"/>
      <c r="F38" s="361"/>
      <c r="G38" s="361"/>
      <c r="H38" s="361"/>
      <c r="I38" s="361"/>
      <c r="J38" s="361"/>
      <c r="K38" s="361"/>
      <c r="L38" s="361"/>
      <c r="M38" s="361"/>
      <c r="N38" s="361"/>
      <c r="O38" s="361"/>
      <c r="P38" s="361"/>
      <c r="Q38" s="361"/>
      <c r="R38" s="361"/>
      <c r="S38" s="361"/>
      <c r="T38" s="361"/>
      <c r="U38" s="361"/>
      <c r="V38" s="361"/>
      <c r="W38" s="361"/>
      <c r="X38" s="361"/>
      <c r="Y38" s="361"/>
      <c r="Z38" s="361"/>
      <c r="AA38" s="361"/>
      <c r="AB38" s="361"/>
      <c r="AC38" s="361"/>
      <c r="AD38" s="361"/>
      <c r="AE38" s="362"/>
      <c r="AF38" s="1"/>
      <c r="AG38" s="69"/>
    </row>
    <row r="39" spans="2:33" ht="9.9499999999999993" customHeight="1">
      <c r="B39" s="72"/>
      <c r="C39" s="75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1"/>
      <c r="AG39" s="69"/>
    </row>
    <row r="40" spans="2:33" ht="20.100000000000001" customHeight="1">
      <c r="B40" s="72"/>
      <c r="C40" s="269" t="s">
        <v>3</v>
      </c>
      <c r="D40" s="270"/>
      <c r="E40" s="270"/>
      <c r="F40" s="270"/>
      <c r="G40" s="270"/>
      <c r="H40" s="270"/>
      <c r="I40" s="270"/>
      <c r="J40" s="270"/>
      <c r="K40" s="271"/>
      <c r="L40" s="2"/>
      <c r="M40" s="383" t="s">
        <v>133</v>
      </c>
      <c r="N40" s="384"/>
      <c r="O40" s="384"/>
      <c r="P40" s="384"/>
      <c r="Q40" s="384"/>
      <c r="R40" s="384"/>
      <c r="S40" s="384"/>
      <c r="T40" s="384"/>
      <c r="U40" s="385"/>
      <c r="V40" s="46"/>
      <c r="W40" s="383" t="s">
        <v>222</v>
      </c>
      <c r="X40" s="384"/>
      <c r="Y40" s="384"/>
      <c r="Z40" s="384"/>
      <c r="AA40" s="384"/>
      <c r="AB40" s="384"/>
      <c r="AC40" s="384"/>
      <c r="AD40" s="384"/>
      <c r="AE40" s="385"/>
      <c r="AF40" s="1"/>
      <c r="AG40" s="69"/>
    </row>
    <row r="41" spans="2:33" ht="20.100000000000001" customHeight="1">
      <c r="B41" s="72"/>
      <c r="C41" s="308"/>
      <c r="D41" s="309"/>
      <c r="E41" s="309"/>
      <c r="F41" s="309"/>
      <c r="G41" s="309"/>
      <c r="H41" s="309"/>
      <c r="I41" s="309"/>
      <c r="J41" s="309"/>
      <c r="K41" s="310"/>
      <c r="L41" s="2"/>
      <c r="M41" s="427"/>
      <c r="N41" s="428"/>
      <c r="O41" s="428"/>
      <c r="P41" s="428"/>
      <c r="Q41" s="428"/>
      <c r="R41" s="428"/>
      <c r="S41" s="428"/>
      <c r="T41" s="428"/>
      <c r="U41" s="429"/>
      <c r="V41" s="12"/>
      <c r="W41" s="430" t="s">
        <v>134</v>
      </c>
      <c r="X41" s="430"/>
      <c r="Y41" s="287"/>
      <c r="Z41" s="287"/>
      <c r="AA41" s="287"/>
      <c r="AB41" s="287"/>
      <c r="AC41" s="288"/>
      <c r="AD41" s="96" t="s">
        <v>157</v>
      </c>
      <c r="AE41" s="92"/>
      <c r="AF41" s="1"/>
      <c r="AG41" s="69"/>
    </row>
    <row r="42" spans="2:33" ht="9.9499999999999993" customHeight="1">
      <c r="B42" s="7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1"/>
      <c r="AG42" s="69"/>
    </row>
    <row r="43" spans="2:33" ht="20.100000000000001" customHeight="1">
      <c r="B43" s="72"/>
      <c r="C43" s="269" t="s">
        <v>5</v>
      </c>
      <c r="D43" s="270"/>
      <c r="E43" s="270"/>
      <c r="F43" s="270"/>
      <c r="G43" s="270"/>
      <c r="H43" s="270"/>
      <c r="I43" s="270"/>
      <c r="J43" s="270"/>
      <c r="K43" s="271"/>
      <c r="L43" s="2"/>
      <c r="M43" s="415" t="s">
        <v>6</v>
      </c>
      <c r="N43" s="415"/>
      <c r="O43" s="415"/>
      <c r="P43" s="415"/>
      <c r="Q43" s="415"/>
      <c r="R43" s="415"/>
      <c r="S43" s="415"/>
      <c r="T43" s="415"/>
      <c r="U43" s="415"/>
      <c r="V43" s="77"/>
      <c r="W43" s="415" t="s">
        <v>7</v>
      </c>
      <c r="X43" s="415"/>
      <c r="Y43" s="415"/>
      <c r="Z43" s="415"/>
      <c r="AA43" s="415"/>
      <c r="AB43" s="415"/>
      <c r="AC43" s="415"/>
      <c r="AD43" s="415"/>
      <c r="AE43" s="415"/>
      <c r="AF43" s="1"/>
      <c r="AG43" s="69"/>
    </row>
    <row r="44" spans="2:33" ht="20.100000000000001" customHeight="1">
      <c r="B44" s="72"/>
      <c r="C44" s="393"/>
      <c r="D44" s="394"/>
      <c r="E44" s="394"/>
      <c r="F44" s="394"/>
      <c r="G44" s="394"/>
      <c r="H44" s="394"/>
      <c r="I44" s="394"/>
      <c r="J44" s="394"/>
      <c r="K44" s="395"/>
      <c r="L44" s="2"/>
      <c r="M44" s="416"/>
      <c r="N44" s="416"/>
      <c r="O44" s="416"/>
      <c r="P44" s="416"/>
      <c r="Q44" s="416"/>
      <c r="R44" s="416"/>
      <c r="S44" s="416"/>
      <c r="T44" s="416"/>
      <c r="U44" s="416"/>
      <c r="V44" s="77"/>
      <c r="W44" s="431"/>
      <c r="X44" s="431"/>
      <c r="Y44" s="431"/>
      <c r="Z44" s="431"/>
      <c r="AA44" s="431"/>
      <c r="AB44" s="431"/>
      <c r="AC44" s="431"/>
      <c r="AD44" s="431"/>
      <c r="AE44" s="431"/>
      <c r="AF44" s="1"/>
      <c r="AG44" s="69"/>
    </row>
    <row r="45" spans="2:33" ht="9.9499999999999993" customHeight="1">
      <c r="B45" s="7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1"/>
      <c r="AG45" s="69"/>
    </row>
    <row r="46" spans="2:33" ht="20.100000000000001" customHeight="1">
      <c r="B46" s="72"/>
      <c r="C46" s="269" t="s">
        <v>8</v>
      </c>
      <c r="D46" s="270"/>
      <c r="E46" s="270"/>
      <c r="F46" s="270"/>
      <c r="G46" s="270"/>
      <c r="H46" s="270"/>
      <c r="I46" s="270"/>
      <c r="J46" s="270"/>
      <c r="K46" s="271"/>
      <c r="L46" s="2"/>
      <c r="M46" s="314" t="s">
        <v>9</v>
      </c>
      <c r="N46" s="314"/>
      <c r="O46" s="314"/>
      <c r="P46" s="409"/>
      <c r="Q46" s="409"/>
      <c r="R46" s="409"/>
      <c r="S46" s="409"/>
      <c r="T46" s="409"/>
      <c r="U46" s="409"/>
      <c r="V46" s="409"/>
      <c r="W46" s="409"/>
      <c r="X46" s="409"/>
      <c r="Y46" s="2"/>
      <c r="Z46" s="388" t="s">
        <v>4</v>
      </c>
      <c r="AA46" s="389"/>
      <c r="AB46" s="414"/>
      <c r="AC46" s="414"/>
      <c r="AD46" s="414"/>
      <c r="AE46" s="414"/>
      <c r="AF46" s="1"/>
      <c r="AG46" s="69"/>
    </row>
    <row r="47" spans="2:33" ht="20.100000000000001" customHeight="1">
      <c r="B47" s="72"/>
      <c r="C47" s="408"/>
      <c r="D47" s="394"/>
      <c r="E47" s="394"/>
      <c r="F47" s="394"/>
      <c r="G47" s="394"/>
      <c r="H47" s="394"/>
      <c r="I47" s="394"/>
      <c r="J47" s="394"/>
      <c r="K47" s="395"/>
      <c r="L47" s="2"/>
      <c r="M47" s="406" t="s">
        <v>10</v>
      </c>
      <c r="N47" s="406"/>
      <c r="O47" s="406"/>
      <c r="P47" s="409"/>
      <c r="Q47" s="409"/>
      <c r="R47" s="409"/>
      <c r="S47" s="409"/>
      <c r="T47" s="409"/>
      <c r="U47" s="409"/>
      <c r="V47" s="409"/>
      <c r="W47" s="409"/>
      <c r="X47" s="409"/>
      <c r="Y47" s="2"/>
      <c r="Z47" s="406" t="s">
        <v>124</v>
      </c>
      <c r="AA47" s="406"/>
      <c r="AB47" s="381"/>
      <c r="AC47" s="407"/>
      <c r="AD47" s="407"/>
      <c r="AE47" s="382"/>
      <c r="AF47" s="1"/>
      <c r="AG47" s="69"/>
    </row>
    <row r="48" spans="2:33" ht="9.9499999999999993" customHeight="1" thickBot="1">
      <c r="B48" s="72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7"/>
      <c r="N48" s="94"/>
      <c r="O48" s="94"/>
      <c r="P48" s="94"/>
      <c r="Q48" s="94"/>
      <c r="R48" s="88"/>
      <c r="S48" s="88"/>
      <c r="T48" s="88"/>
      <c r="U48" s="88"/>
      <c r="V48" s="95"/>
      <c r="W48" s="95"/>
      <c r="X48" s="95"/>
      <c r="Y48" s="95"/>
      <c r="Z48" s="95"/>
      <c r="AA48" s="88"/>
      <c r="AB48" s="88"/>
      <c r="AC48" s="88"/>
      <c r="AD48" s="88"/>
      <c r="AE48" s="88"/>
      <c r="AF48" s="1"/>
      <c r="AG48" s="69"/>
    </row>
    <row r="49" spans="2:33" ht="19.5" customHeight="1" thickBot="1">
      <c r="B49" s="72"/>
      <c r="C49" s="360" t="s">
        <v>240</v>
      </c>
      <c r="D49" s="361"/>
      <c r="E49" s="361"/>
      <c r="F49" s="361"/>
      <c r="G49" s="361"/>
      <c r="H49" s="361"/>
      <c r="I49" s="361"/>
      <c r="J49" s="361"/>
      <c r="K49" s="361"/>
      <c r="L49" s="361"/>
      <c r="M49" s="361"/>
      <c r="N49" s="361"/>
      <c r="O49" s="361"/>
      <c r="P49" s="361"/>
      <c r="Q49" s="361"/>
      <c r="R49" s="361"/>
      <c r="S49" s="361"/>
      <c r="T49" s="361"/>
      <c r="U49" s="361"/>
      <c r="V49" s="361"/>
      <c r="W49" s="361"/>
      <c r="X49" s="361"/>
      <c r="Y49" s="361"/>
      <c r="Z49" s="361"/>
      <c r="AA49" s="361"/>
      <c r="AB49" s="361"/>
      <c r="AC49" s="361"/>
      <c r="AD49" s="361"/>
      <c r="AE49" s="362"/>
      <c r="AF49" s="1"/>
      <c r="AG49" s="69"/>
    </row>
    <row r="50" spans="2:33" ht="9.9499999999999993" customHeight="1">
      <c r="B50" s="72"/>
      <c r="C50" s="76"/>
      <c r="D50" s="76"/>
      <c r="E50" s="76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7"/>
      <c r="Q50" s="7"/>
      <c r="R50" s="7"/>
      <c r="S50" s="7"/>
      <c r="T50" s="7"/>
      <c r="U50" s="7"/>
      <c r="V50" s="7"/>
      <c r="W50" s="12"/>
      <c r="X50" s="12"/>
      <c r="Y50" s="12"/>
      <c r="Z50" s="12"/>
      <c r="AA50" s="12"/>
      <c r="AB50" s="12"/>
      <c r="AC50" s="12"/>
      <c r="AD50" s="12"/>
      <c r="AE50" s="12"/>
      <c r="AF50" s="1"/>
      <c r="AG50" s="69"/>
    </row>
    <row r="51" spans="2:33" ht="20.100000000000001" customHeight="1">
      <c r="B51" s="72"/>
      <c r="C51" s="84" t="s">
        <v>221</v>
      </c>
      <c r="D51" s="403" t="s">
        <v>140</v>
      </c>
      <c r="E51" s="404"/>
      <c r="F51" s="405"/>
      <c r="G51" s="403" t="s">
        <v>223</v>
      </c>
      <c r="H51" s="404"/>
      <c r="I51" s="404"/>
      <c r="J51" s="404"/>
      <c r="K51" s="405"/>
      <c r="L51" s="403" t="s">
        <v>142</v>
      </c>
      <c r="M51" s="404"/>
      <c r="N51" s="404"/>
      <c r="O51" s="405"/>
      <c r="P51" s="403" t="s">
        <v>55</v>
      </c>
      <c r="Q51" s="404"/>
      <c r="R51" s="404"/>
      <c r="S51" s="405"/>
      <c r="T51" s="403" t="s">
        <v>56</v>
      </c>
      <c r="U51" s="404"/>
      <c r="V51" s="404"/>
      <c r="W51" s="404"/>
      <c r="X51" s="405"/>
      <c r="Y51" s="432" t="s">
        <v>224</v>
      </c>
      <c r="Z51" s="433"/>
      <c r="AA51" s="433"/>
      <c r="AB51" s="433"/>
      <c r="AC51" s="433"/>
      <c r="AD51" s="433"/>
      <c r="AE51" s="434"/>
      <c r="AF51" s="1"/>
      <c r="AG51" s="69"/>
    </row>
    <row r="52" spans="2:33" ht="20.100000000000001" customHeight="1">
      <c r="B52" s="72"/>
      <c r="C52" s="85">
        <v>1</v>
      </c>
      <c r="D52" s="396"/>
      <c r="E52" s="397"/>
      <c r="F52" s="398"/>
      <c r="G52" s="184"/>
      <c r="H52" s="185"/>
      <c r="I52" s="185"/>
      <c r="J52" s="185"/>
      <c r="K52" s="186"/>
      <c r="L52" s="184"/>
      <c r="M52" s="185"/>
      <c r="N52" s="185"/>
      <c r="O52" s="186"/>
      <c r="P52" s="184"/>
      <c r="Q52" s="185"/>
      <c r="R52" s="185"/>
      <c r="S52" s="186"/>
      <c r="T52" s="184"/>
      <c r="U52" s="185"/>
      <c r="V52" s="185"/>
      <c r="W52" s="185"/>
      <c r="X52" s="186"/>
      <c r="Y52" s="298"/>
      <c r="Z52" s="299"/>
      <c r="AA52" s="299"/>
      <c r="AB52" s="299"/>
      <c r="AC52" s="299"/>
      <c r="AD52" s="299"/>
      <c r="AE52" s="300"/>
      <c r="AF52" s="1"/>
      <c r="AG52" s="69"/>
    </row>
    <row r="53" spans="2:33" ht="20.100000000000001" customHeight="1">
      <c r="B53" s="72"/>
      <c r="C53" s="85">
        <v>2</v>
      </c>
      <c r="D53" s="396"/>
      <c r="E53" s="397"/>
      <c r="F53" s="398"/>
      <c r="G53" s="184"/>
      <c r="H53" s="185"/>
      <c r="I53" s="185"/>
      <c r="J53" s="185"/>
      <c r="K53" s="186"/>
      <c r="L53" s="184"/>
      <c r="M53" s="185"/>
      <c r="N53" s="185"/>
      <c r="O53" s="186"/>
      <c r="P53" s="184"/>
      <c r="Q53" s="185"/>
      <c r="R53" s="185"/>
      <c r="S53" s="186"/>
      <c r="T53" s="184"/>
      <c r="U53" s="185"/>
      <c r="V53" s="185"/>
      <c r="W53" s="185"/>
      <c r="X53" s="186"/>
      <c r="Y53" s="298"/>
      <c r="Z53" s="299"/>
      <c r="AA53" s="299"/>
      <c r="AB53" s="299"/>
      <c r="AC53" s="299"/>
      <c r="AD53" s="299"/>
      <c r="AE53" s="300"/>
      <c r="AF53" s="1"/>
      <c r="AG53" s="69"/>
    </row>
    <row r="54" spans="2:33" ht="20.100000000000001" customHeight="1">
      <c r="B54" s="72"/>
      <c r="C54" s="85">
        <v>3</v>
      </c>
      <c r="D54" s="396"/>
      <c r="E54" s="397"/>
      <c r="F54" s="398"/>
      <c r="G54" s="184"/>
      <c r="H54" s="185"/>
      <c r="I54" s="185"/>
      <c r="J54" s="185"/>
      <c r="K54" s="186"/>
      <c r="L54" s="184"/>
      <c r="M54" s="185"/>
      <c r="N54" s="185"/>
      <c r="O54" s="186"/>
      <c r="P54" s="184"/>
      <c r="Q54" s="185"/>
      <c r="R54" s="185"/>
      <c r="S54" s="186"/>
      <c r="T54" s="184"/>
      <c r="U54" s="185"/>
      <c r="V54" s="185"/>
      <c r="W54" s="185"/>
      <c r="X54" s="186"/>
      <c r="Y54" s="298"/>
      <c r="Z54" s="299"/>
      <c r="AA54" s="299"/>
      <c r="AB54" s="299"/>
      <c r="AC54" s="299"/>
      <c r="AD54" s="299"/>
      <c r="AE54" s="300"/>
      <c r="AF54" s="1"/>
      <c r="AG54" s="69"/>
    </row>
    <row r="55" spans="2:33" ht="20.100000000000001" customHeight="1">
      <c r="B55" s="72"/>
      <c r="C55" s="85">
        <v>4</v>
      </c>
      <c r="D55" s="396"/>
      <c r="E55" s="397"/>
      <c r="F55" s="398"/>
      <c r="G55" s="184"/>
      <c r="H55" s="185"/>
      <c r="I55" s="185"/>
      <c r="J55" s="185"/>
      <c r="K55" s="186"/>
      <c r="L55" s="184"/>
      <c r="M55" s="185"/>
      <c r="N55" s="185"/>
      <c r="O55" s="186"/>
      <c r="P55" s="184"/>
      <c r="Q55" s="185"/>
      <c r="R55" s="185"/>
      <c r="S55" s="186"/>
      <c r="T55" s="184"/>
      <c r="U55" s="185"/>
      <c r="V55" s="185"/>
      <c r="W55" s="185"/>
      <c r="X55" s="186"/>
      <c r="Y55" s="298"/>
      <c r="Z55" s="299"/>
      <c r="AA55" s="299"/>
      <c r="AB55" s="299"/>
      <c r="AC55" s="299"/>
      <c r="AD55" s="299"/>
      <c r="AE55" s="300"/>
      <c r="AF55" s="1"/>
      <c r="AG55" s="69"/>
    </row>
    <row r="56" spans="2:33" ht="20.100000000000001" customHeight="1">
      <c r="B56" s="72"/>
      <c r="C56" s="85">
        <v>5</v>
      </c>
      <c r="D56" s="396"/>
      <c r="E56" s="397"/>
      <c r="F56" s="398"/>
      <c r="G56" s="184"/>
      <c r="H56" s="185"/>
      <c r="I56" s="185"/>
      <c r="J56" s="185"/>
      <c r="K56" s="186"/>
      <c r="L56" s="184"/>
      <c r="M56" s="185"/>
      <c r="N56" s="185"/>
      <c r="O56" s="186"/>
      <c r="P56" s="184"/>
      <c r="Q56" s="185"/>
      <c r="R56" s="185"/>
      <c r="S56" s="186"/>
      <c r="T56" s="184"/>
      <c r="U56" s="185"/>
      <c r="V56" s="185"/>
      <c r="W56" s="185"/>
      <c r="X56" s="186"/>
      <c r="Y56" s="298"/>
      <c r="Z56" s="299"/>
      <c r="AA56" s="299"/>
      <c r="AB56" s="299"/>
      <c r="AC56" s="299"/>
      <c r="AD56" s="299"/>
      <c r="AE56" s="300"/>
      <c r="AF56" s="1"/>
      <c r="AG56" s="69"/>
    </row>
    <row r="57" spans="2:33" ht="20.100000000000001" customHeight="1">
      <c r="B57" s="72"/>
      <c r="C57" s="85">
        <v>6</v>
      </c>
      <c r="D57" s="396"/>
      <c r="E57" s="397"/>
      <c r="F57" s="398"/>
      <c r="G57" s="184"/>
      <c r="H57" s="185"/>
      <c r="I57" s="185"/>
      <c r="J57" s="185"/>
      <c r="K57" s="186"/>
      <c r="L57" s="184"/>
      <c r="M57" s="185"/>
      <c r="N57" s="185"/>
      <c r="O57" s="186"/>
      <c r="P57" s="184"/>
      <c r="Q57" s="185"/>
      <c r="R57" s="185"/>
      <c r="S57" s="186"/>
      <c r="T57" s="184"/>
      <c r="U57" s="185"/>
      <c r="V57" s="185"/>
      <c r="W57" s="185"/>
      <c r="X57" s="186"/>
      <c r="Y57" s="298"/>
      <c r="Z57" s="299"/>
      <c r="AA57" s="299"/>
      <c r="AB57" s="299"/>
      <c r="AC57" s="299"/>
      <c r="AD57" s="299"/>
      <c r="AE57" s="300"/>
      <c r="AF57" s="1"/>
      <c r="AG57" s="69"/>
    </row>
    <row r="58" spans="2:33" ht="20.100000000000001" customHeight="1">
      <c r="B58" s="72"/>
      <c r="C58" s="85">
        <v>7</v>
      </c>
      <c r="D58" s="396"/>
      <c r="E58" s="397"/>
      <c r="F58" s="398"/>
      <c r="G58" s="184"/>
      <c r="H58" s="185"/>
      <c r="I58" s="185"/>
      <c r="J58" s="185"/>
      <c r="K58" s="186"/>
      <c r="L58" s="184"/>
      <c r="M58" s="185"/>
      <c r="N58" s="185"/>
      <c r="O58" s="186"/>
      <c r="P58" s="184"/>
      <c r="Q58" s="185"/>
      <c r="R58" s="185"/>
      <c r="S58" s="186"/>
      <c r="T58" s="184"/>
      <c r="U58" s="185"/>
      <c r="V58" s="185"/>
      <c r="W58" s="185"/>
      <c r="X58" s="186"/>
      <c r="Y58" s="298"/>
      <c r="Z58" s="299"/>
      <c r="AA58" s="299"/>
      <c r="AB58" s="299"/>
      <c r="AC58" s="299"/>
      <c r="AD58" s="299"/>
      <c r="AE58" s="300"/>
      <c r="AF58" s="1"/>
      <c r="AG58" s="69"/>
    </row>
    <row r="59" spans="2:33" ht="20.100000000000001" customHeight="1">
      <c r="B59" s="72"/>
      <c r="C59" s="85">
        <v>8</v>
      </c>
      <c r="D59" s="396"/>
      <c r="E59" s="397"/>
      <c r="F59" s="398"/>
      <c r="G59" s="184"/>
      <c r="H59" s="185"/>
      <c r="I59" s="185"/>
      <c r="J59" s="185"/>
      <c r="K59" s="186"/>
      <c r="L59" s="184"/>
      <c r="M59" s="185"/>
      <c r="N59" s="185"/>
      <c r="O59" s="186"/>
      <c r="P59" s="184"/>
      <c r="Q59" s="185"/>
      <c r="R59" s="185"/>
      <c r="S59" s="186"/>
      <c r="T59" s="184"/>
      <c r="U59" s="185"/>
      <c r="V59" s="185"/>
      <c r="W59" s="185"/>
      <c r="X59" s="186"/>
      <c r="Y59" s="298"/>
      <c r="Z59" s="299"/>
      <c r="AA59" s="299"/>
      <c r="AB59" s="299"/>
      <c r="AC59" s="299"/>
      <c r="AD59" s="299"/>
      <c r="AE59" s="300"/>
      <c r="AF59" s="1"/>
      <c r="AG59" s="69"/>
    </row>
    <row r="60" spans="2:33" ht="20.100000000000001" customHeight="1">
      <c r="B60" s="72"/>
      <c r="C60" s="85">
        <v>9</v>
      </c>
      <c r="D60" s="396"/>
      <c r="E60" s="397"/>
      <c r="F60" s="398"/>
      <c r="G60" s="184"/>
      <c r="H60" s="185"/>
      <c r="I60" s="185"/>
      <c r="J60" s="185"/>
      <c r="K60" s="186"/>
      <c r="L60" s="184"/>
      <c r="M60" s="185"/>
      <c r="N60" s="185"/>
      <c r="O60" s="186"/>
      <c r="P60" s="184"/>
      <c r="Q60" s="185"/>
      <c r="R60" s="185"/>
      <c r="S60" s="186"/>
      <c r="T60" s="184"/>
      <c r="U60" s="185"/>
      <c r="V60" s="185"/>
      <c r="W60" s="185"/>
      <c r="X60" s="186"/>
      <c r="Y60" s="298"/>
      <c r="Z60" s="299"/>
      <c r="AA60" s="299"/>
      <c r="AB60" s="299"/>
      <c r="AC60" s="299"/>
      <c r="AD60" s="299"/>
      <c r="AE60" s="300"/>
      <c r="AF60" s="1"/>
      <c r="AG60" s="69"/>
    </row>
    <row r="61" spans="2:33" ht="20.100000000000001" customHeight="1">
      <c r="B61" s="72"/>
      <c r="C61" s="85">
        <v>10</v>
      </c>
      <c r="D61" s="396"/>
      <c r="E61" s="397"/>
      <c r="F61" s="398"/>
      <c r="G61" s="184"/>
      <c r="H61" s="185"/>
      <c r="I61" s="185"/>
      <c r="J61" s="185"/>
      <c r="K61" s="186"/>
      <c r="L61" s="184"/>
      <c r="M61" s="185"/>
      <c r="N61" s="185"/>
      <c r="O61" s="186"/>
      <c r="P61" s="184"/>
      <c r="Q61" s="185"/>
      <c r="R61" s="185"/>
      <c r="S61" s="186"/>
      <c r="T61" s="184"/>
      <c r="U61" s="185"/>
      <c r="V61" s="185"/>
      <c r="W61" s="185"/>
      <c r="X61" s="186"/>
      <c r="Y61" s="298"/>
      <c r="Z61" s="299"/>
      <c r="AA61" s="299"/>
      <c r="AB61" s="299"/>
      <c r="AC61" s="299"/>
      <c r="AD61" s="299"/>
      <c r="AE61" s="300"/>
      <c r="AF61" s="1"/>
      <c r="AG61" s="69"/>
    </row>
    <row r="62" spans="2:33" ht="20.100000000000001" customHeight="1">
      <c r="B62" s="72"/>
      <c r="C62" s="104" t="s">
        <v>148</v>
      </c>
      <c r="D62" s="417">
        <f>SUM(D52:F61)</f>
        <v>0</v>
      </c>
      <c r="E62" s="418"/>
      <c r="F62" s="419"/>
      <c r="G62" s="274"/>
      <c r="H62" s="275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275"/>
      <c r="AC62" s="275"/>
      <c r="AD62" s="275"/>
      <c r="AE62" s="276"/>
      <c r="AF62" s="1"/>
      <c r="AG62" s="69"/>
    </row>
    <row r="63" spans="2:33" ht="9.9499999999999993" customHeight="1" thickBot="1">
      <c r="B63" s="72"/>
      <c r="C63" s="11"/>
      <c r="D63" s="48"/>
      <c r="E63" s="48"/>
      <c r="F63" s="13"/>
      <c r="G63" s="13"/>
      <c r="H63" s="13"/>
      <c r="I63" s="13"/>
      <c r="J63" s="14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1"/>
      <c r="AG63" s="69"/>
    </row>
    <row r="64" spans="2:33" ht="20.100000000000001" customHeight="1" thickBot="1">
      <c r="B64" s="72"/>
      <c r="C64" s="360" t="s">
        <v>238</v>
      </c>
      <c r="D64" s="361"/>
      <c r="E64" s="361"/>
      <c r="F64" s="361"/>
      <c r="G64" s="361"/>
      <c r="H64" s="361"/>
      <c r="I64" s="361"/>
      <c r="J64" s="361"/>
      <c r="K64" s="361"/>
      <c r="L64" s="361"/>
      <c r="M64" s="361"/>
      <c r="N64" s="361"/>
      <c r="O64" s="361"/>
      <c r="P64" s="361"/>
      <c r="Q64" s="361"/>
      <c r="R64" s="361"/>
      <c r="S64" s="361"/>
      <c r="T64" s="361"/>
      <c r="U64" s="361"/>
      <c r="V64" s="361"/>
      <c r="W64" s="361"/>
      <c r="X64" s="361"/>
      <c r="Y64" s="361"/>
      <c r="Z64" s="361"/>
      <c r="AA64" s="361"/>
      <c r="AB64" s="361"/>
      <c r="AC64" s="361"/>
      <c r="AD64" s="361"/>
      <c r="AE64" s="362"/>
      <c r="AF64" s="1"/>
      <c r="AG64" s="69"/>
    </row>
    <row r="65" spans="2:33" ht="20.100000000000001" customHeight="1">
      <c r="B65" s="72"/>
      <c r="C65" s="420" t="s">
        <v>11</v>
      </c>
      <c r="D65" s="420"/>
      <c r="E65" s="420"/>
      <c r="F65" s="420"/>
      <c r="G65" s="420"/>
      <c r="H65" s="420"/>
      <c r="I65" s="420"/>
      <c r="J65" s="420"/>
      <c r="K65" s="420"/>
      <c r="L65" s="420"/>
      <c r="M65" s="420"/>
      <c r="N65" s="420"/>
      <c r="O65" s="420"/>
      <c r="P65" s="420"/>
      <c r="Q65" s="420"/>
      <c r="R65" s="420"/>
      <c r="S65" s="420"/>
      <c r="T65" s="420"/>
      <c r="U65" s="420"/>
      <c r="V65" s="420"/>
      <c r="W65" s="420"/>
      <c r="X65" s="420"/>
      <c r="Y65" s="420"/>
      <c r="Z65" s="420"/>
      <c r="AA65" s="420"/>
      <c r="AB65" s="420"/>
      <c r="AC65" s="420"/>
      <c r="AD65" s="420"/>
      <c r="AE65" s="420"/>
      <c r="AF65" s="1"/>
      <c r="AG65" s="69"/>
    </row>
    <row r="66" spans="2:33" ht="9.9499999999999993" customHeight="1">
      <c r="B66" s="72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1"/>
      <c r="AG66" s="69"/>
    </row>
    <row r="67" spans="2:33" ht="20.100000000000001" customHeight="1">
      <c r="B67" s="72"/>
      <c r="C67" s="269" t="s">
        <v>225</v>
      </c>
      <c r="D67" s="270"/>
      <c r="E67" s="270"/>
      <c r="F67" s="271"/>
      <c r="G67" s="277"/>
      <c r="H67" s="278"/>
      <c r="I67" s="278"/>
      <c r="J67" s="278"/>
      <c r="K67" s="278"/>
      <c r="L67" s="278"/>
      <c r="M67" s="278"/>
      <c r="N67" s="278"/>
      <c r="O67" s="279"/>
      <c r="Q67" s="269" t="s">
        <v>226</v>
      </c>
      <c r="R67" s="270"/>
      <c r="S67" s="270"/>
      <c r="T67" s="270"/>
      <c r="U67" s="271"/>
      <c r="V67" s="333"/>
      <c r="W67" s="334"/>
      <c r="X67" s="334"/>
      <c r="Y67" s="334"/>
      <c r="Z67" s="334"/>
      <c r="AA67" s="334"/>
      <c r="AB67" s="334"/>
      <c r="AC67" s="334"/>
      <c r="AD67" s="334"/>
      <c r="AE67" s="335"/>
      <c r="AF67" s="1"/>
      <c r="AG67" s="69"/>
    </row>
    <row r="68" spans="2:33" ht="9.9499999999999993" customHeight="1">
      <c r="B68" s="72"/>
      <c r="C68" s="10"/>
      <c r="D68" s="10"/>
      <c r="E68" s="7"/>
      <c r="F68" s="7"/>
      <c r="G68" s="7"/>
      <c r="H68" s="7"/>
      <c r="I68" s="10"/>
      <c r="J68" s="10"/>
      <c r="K68" s="10"/>
      <c r="L68" s="10"/>
      <c r="M68" s="7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7"/>
      <c r="AA68" s="7"/>
      <c r="AB68" s="49"/>
      <c r="AC68" s="49"/>
      <c r="AD68" s="49"/>
      <c r="AE68" s="49"/>
      <c r="AF68" s="1"/>
      <c r="AG68" s="69"/>
    </row>
    <row r="69" spans="2:33" ht="20.100000000000001" customHeight="1">
      <c r="B69" s="72"/>
      <c r="C69" s="269" t="s">
        <v>323</v>
      </c>
      <c r="D69" s="270"/>
      <c r="E69" s="270"/>
      <c r="F69" s="270"/>
      <c r="G69" s="270"/>
      <c r="H69" s="271"/>
      <c r="I69" s="330"/>
      <c r="J69" s="331"/>
      <c r="K69" s="331"/>
      <c r="L69" s="331"/>
      <c r="M69" s="331"/>
      <c r="N69" s="331"/>
      <c r="O69" s="331"/>
      <c r="P69" s="331"/>
      <c r="Q69" s="331"/>
      <c r="R69" s="331"/>
      <c r="S69" s="331"/>
      <c r="T69" s="331"/>
      <c r="U69" s="332"/>
      <c r="V69" s="78"/>
      <c r="W69" s="424" t="str">
        <f>IF(OR(I69="",I69="INDIVIDUAL"),"","PREENCHER LISTA DE RATEIO DE CLIENTES NA GUIA 2")</f>
        <v/>
      </c>
      <c r="X69" s="425"/>
      <c r="Y69" s="425"/>
      <c r="Z69" s="425"/>
      <c r="AA69" s="425"/>
      <c r="AB69" s="425"/>
      <c r="AC69" s="425"/>
      <c r="AD69" s="425"/>
      <c r="AE69" s="426"/>
      <c r="AF69" s="1"/>
      <c r="AG69" s="69"/>
    </row>
    <row r="70" spans="2:33" ht="9.9499999999999993" customHeight="1">
      <c r="B70" s="72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78"/>
      <c r="W70" s="99"/>
      <c r="X70" s="99"/>
      <c r="Y70" s="99"/>
      <c r="Z70" s="99"/>
      <c r="AA70" s="99"/>
      <c r="AB70" s="99"/>
      <c r="AC70" s="99"/>
      <c r="AD70" s="99"/>
      <c r="AE70" s="99"/>
      <c r="AF70" s="1"/>
      <c r="AG70" s="69"/>
    </row>
    <row r="71" spans="2:33" ht="20.100000000000001" customHeight="1">
      <c r="B71" s="72"/>
      <c r="C71" s="269" t="s">
        <v>261</v>
      </c>
      <c r="D71" s="270"/>
      <c r="E71" s="271"/>
      <c r="F71" s="272" t="str">
        <f>IF(N29="","",N29)</f>
        <v/>
      </c>
      <c r="G71" s="273"/>
      <c r="H71" s="110" t="s">
        <v>209</v>
      </c>
      <c r="J71" s="266" t="str">
        <f>IF(F71="","",IF(AND(F71&gt;75,F71&lt;=5000),"PD OK",IF(AND(N29&gt;0,N29&lt;=75),"PD ABAIXO DO LIMITE",IF(N29&gt;5000,"PD ACIMA DO LIMITE",""))))</f>
        <v/>
      </c>
      <c r="K71" s="267"/>
      <c r="L71" s="267"/>
      <c r="M71" s="267"/>
      <c r="N71" s="268"/>
      <c r="P71" s="269" t="s">
        <v>262</v>
      </c>
      <c r="Q71" s="270"/>
      <c r="R71" s="270"/>
      <c r="S71" s="271"/>
      <c r="T71" s="272" t="str">
        <f>IF(G67="","",IF(G67="SOLAR FOTOVOLTAICA",IF('0'!L112&lt;='0'!K57,'0'!L112,'0'!K57),IF(G67="EÓLICA",IF('0'!L112&lt;='0'!V138,'0'!L112,'0'!V138),IF(G67="HIDRÁULICA",'0'!AB155,IF(G67="BIOMASSA (especificar ao lado o tipo de fonte primária)",'0'!H163,IF(G67="COGERAÇÃO QUALIFICADA",'0'!H163,IF(G67="OUTRAS (especificar ao lado)",'0'!H163,"")))))))</f>
        <v/>
      </c>
      <c r="U71" s="273"/>
      <c r="V71" s="111" t="s">
        <v>209</v>
      </c>
      <c r="X71" s="266" t="str">
        <f>IF(OR(F71="",T71=""),"",IF(AND(T71&gt;75,T71&lt;=5000),IF(T71&lt;=F71,"OK: PG ≤ PD","NOK: PG &gt; PD"),IF(T71&lt;=75,"PG ABAIXO DO LIMITE DE MINIGERAÇÃO","PG ACIMA DO LIMITE DE MINIGERAÇÃO")))</f>
        <v/>
      </c>
      <c r="Y71" s="267"/>
      <c r="Z71" s="267"/>
      <c r="AA71" s="267"/>
      <c r="AB71" s="267"/>
      <c r="AC71" s="267"/>
      <c r="AD71" s="267"/>
      <c r="AE71" s="268"/>
      <c r="AF71" s="1"/>
      <c r="AG71" s="69"/>
    </row>
    <row r="72" spans="2:33" ht="9.9499999999999993" customHeight="1">
      <c r="B72" s="72"/>
      <c r="C72" s="10"/>
      <c r="D72" s="10"/>
      <c r="E72" s="7"/>
      <c r="F72" s="7"/>
      <c r="G72" s="7"/>
      <c r="H72" s="7"/>
      <c r="I72" s="10"/>
      <c r="J72" s="10"/>
      <c r="K72" s="10"/>
      <c r="L72" s="10"/>
      <c r="M72" s="7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7"/>
      <c r="AA72" s="7"/>
      <c r="AB72" s="49"/>
      <c r="AC72" s="49"/>
      <c r="AD72" s="49"/>
      <c r="AE72" s="49"/>
      <c r="AF72" s="15"/>
      <c r="AG72" s="69"/>
    </row>
    <row r="73" spans="2:33" ht="20.100000000000001" customHeight="1">
      <c r="B73" s="72"/>
      <c r="C73" s="269" t="s">
        <v>227</v>
      </c>
      <c r="D73" s="271"/>
      <c r="E73" s="266" t="str">
        <f>IF(OR(F71="",T71="",T71&gt;F71),"",IF(AND(T71&gt;75,T71&lt;=2500),"ATENDIMENTO EM TENSÃO INFERIOR A 69 kV (13.8 kV ou 34.5 kV)",IF(AND(T71&gt;2500,T71&lt;=5000),"ATENDIMENTO EM TENSÃO ≥ 69 kV (69 kV OU 138 kV) OU CONFORME ESTUDO DE VIABILIDADE TÉCNICA","")))</f>
        <v/>
      </c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7"/>
      <c r="Q73" s="267"/>
      <c r="R73" s="267"/>
      <c r="S73" s="267"/>
      <c r="T73" s="267"/>
      <c r="U73" s="267"/>
      <c r="V73" s="267"/>
      <c r="W73" s="268"/>
      <c r="X73" s="10"/>
      <c r="Y73" s="269" t="s">
        <v>259</v>
      </c>
      <c r="Z73" s="270"/>
      <c r="AA73" s="270"/>
      <c r="AB73" s="271"/>
      <c r="AC73" s="421"/>
      <c r="AD73" s="422"/>
      <c r="AE73" s="423"/>
      <c r="AF73" s="15"/>
      <c r="AG73" s="69"/>
    </row>
    <row r="74" spans="2:33" ht="10.5" customHeight="1">
      <c r="B74" s="72"/>
      <c r="C74" s="10"/>
      <c r="D74" s="10"/>
      <c r="E74" s="7"/>
      <c r="F74" s="7"/>
      <c r="G74" s="7"/>
      <c r="H74" s="7"/>
      <c r="I74" s="10"/>
      <c r="J74" s="10"/>
      <c r="K74" s="10"/>
      <c r="L74" s="10"/>
      <c r="M74" s="7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7"/>
      <c r="AA74" s="7"/>
      <c r="AB74" s="49"/>
      <c r="AC74" s="49"/>
      <c r="AD74" s="49"/>
      <c r="AE74" s="49"/>
      <c r="AF74" s="15"/>
      <c r="AG74" s="69"/>
    </row>
    <row r="75" spans="2:33" ht="9.9499999999999993" customHeight="1" thickBot="1">
      <c r="B75" s="72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1"/>
      <c r="AG75" s="69"/>
    </row>
    <row r="76" spans="2:33" ht="20.100000000000001" customHeight="1" thickBot="1">
      <c r="B76" s="72"/>
      <c r="C76" s="360" t="s">
        <v>270</v>
      </c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361"/>
      <c r="Q76" s="361"/>
      <c r="R76" s="361"/>
      <c r="S76" s="361"/>
      <c r="T76" s="361"/>
      <c r="U76" s="361"/>
      <c r="V76" s="361"/>
      <c r="W76" s="361"/>
      <c r="X76" s="361"/>
      <c r="Y76" s="361"/>
      <c r="Z76" s="361"/>
      <c r="AA76" s="361"/>
      <c r="AB76" s="361"/>
      <c r="AC76" s="361"/>
      <c r="AD76" s="361"/>
      <c r="AE76" s="362"/>
      <c r="AF76" s="1"/>
      <c r="AG76" s="69"/>
    </row>
    <row r="77" spans="2:33" ht="9.9499999999999993" customHeight="1">
      <c r="B77" s="72"/>
      <c r="C77" s="50"/>
      <c r="D77" s="88"/>
      <c r="E77" s="88"/>
      <c r="F77" s="88"/>
      <c r="G77" s="93"/>
      <c r="H77" s="88"/>
      <c r="I77" s="88"/>
      <c r="J77" s="88"/>
      <c r="K77" s="88"/>
      <c r="L77" s="88"/>
      <c r="M77" s="88"/>
      <c r="N77" s="2"/>
      <c r="O77" s="51"/>
      <c r="P77" s="51"/>
      <c r="Q77" s="51"/>
      <c r="R77" s="51"/>
      <c r="S77" s="51"/>
      <c r="T77" s="51"/>
      <c r="U77" s="51"/>
      <c r="V77" s="51"/>
      <c r="W77" s="89"/>
      <c r="X77" s="89"/>
      <c r="Y77" s="89"/>
      <c r="Z77" s="89"/>
      <c r="AA77" s="89"/>
      <c r="AB77" s="89"/>
      <c r="AC77" s="89"/>
      <c r="AD77" s="89"/>
      <c r="AE77" s="89"/>
      <c r="AF77" s="1"/>
      <c r="AG77" s="69"/>
    </row>
    <row r="78" spans="2:33" ht="20.100000000000001" customHeight="1">
      <c r="B78" s="72"/>
      <c r="C78" s="367" t="s">
        <v>135</v>
      </c>
      <c r="D78" s="368"/>
      <c r="E78" s="368"/>
      <c r="F78" s="368"/>
      <c r="G78" s="368"/>
      <c r="H78" s="368"/>
      <c r="I78" s="368"/>
      <c r="J78" s="368"/>
      <c r="K78" s="368"/>
      <c r="L78" s="368"/>
      <c r="M78" s="368"/>
      <c r="N78" s="368"/>
      <c r="O78" s="368"/>
      <c r="P78" s="368"/>
      <c r="Q78" s="368"/>
      <c r="R78" s="368"/>
      <c r="S78" s="368"/>
      <c r="T78" s="368"/>
      <c r="U78" s="369"/>
      <c r="V78" s="357" t="s">
        <v>136</v>
      </c>
      <c r="W78" s="358"/>
      <c r="X78" s="358"/>
      <c r="Y78" s="358"/>
      <c r="Z78" s="358"/>
      <c r="AA78" s="358"/>
      <c r="AB78" s="358"/>
      <c r="AC78" s="358"/>
      <c r="AD78" s="358"/>
      <c r="AE78" s="359"/>
      <c r="AF78" s="1"/>
      <c r="AG78" s="69"/>
    </row>
    <row r="79" spans="2:33" ht="27" customHeight="1">
      <c r="B79" s="72"/>
      <c r="C79" s="263" t="s">
        <v>324</v>
      </c>
      <c r="D79" s="264"/>
      <c r="E79" s="264"/>
      <c r="F79" s="264"/>
      <c r="G79" s="264"/>
      <c r="H79" s="264"/>
      <c r="I79" s="264"/>
      <c r="J79" s="264"/>
      <c r="K79" s="264"/>
      <c r="L79" s="264"/>
      <c r="M79" s="264"/>
      <c r="N79" s="264"/>
      <c r="O79" s="264"/>
      <c r="P79" s="264"/>
      <c r="Q79" s="264"/>
      <c r="R79" s="264"/>
      <c r="S79" s="264"/>
      <c r="T79" s="264"/>
      <c r="U79" s="265"/>
      <c r="V79" s="363"/>
      <c r="W79" s="363"/>
      <c r="X79" s="363"/>
      <c r="Y79" s="363"/>
      <c r="Z79" s="363"/>
      <c r="AA79" s="363"/>
      <c r="AB79" s="363"/>
      <c r="AC79" s="363"/>
      <c r="AD79" s="363"/>
      <c r="AE79" s="363"/>
      <c r="AF79" s="1"/>
      <c r="AG79" s="69"/>
    </row>
    <row r="80" spans="2:33" ht="20.100000000000001" customHeight="1">
      <c r="B80" s="72"/>
      <c r="C80" s="280" t="s">
        <v>149</v>
      </c>
      <c r="D80" s="281"/>
      <c r="E80" s="281"/>
      <c r="F80" s="281"/>
      <c r="G80" s="281"/>
      <c r="H80" s="281"/>
      <c r="I80" s="281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2"/>
      <c r="V80" s="363"/>
      <c r="W80" s="363"/>
      <c r="X80" s="363"/>
      <c r="Y80" s="363"/>
      <c r="Z80" s="363"/>
      <c r="AA80" s="363"/>
      <c r="AB80" s="363"/>
      <c r="AC80" s="363"/>
      <c r="AD80" s="363"/>
      <c r="AE80" s="363"/>
      <c r="AF80" s="1"/>
      <c r="AG80" s="69"/>
    </row>
    <row r="81" spans="2:33" ht="20.100000000000001" customHeight="1">
      <c r="B81" s="72"/>
      <c r="C81" s="280" t="s">
        <v>150</v>
      </c>
      <c r="D81" s="281"/>
      <c r="E81" s="281"/>
      <c r="F81" s="281"/>
      <c r="G81" s="281"/>
      <c r="H81" s="281"/>
      <c r="I81" s="281"/>
      <c r="J81" s="281"/>
      <c r="K81" s="281"/>
      <c r="L81" s="281"/>
      <c r="M81" s="281"/>
      <c r="N81" s="281"/>
      <c r="O81" s="281"/>
      <c r="P81" s="281"/>
      <c r="Q81" s="281"/>
      <c r="R81" s="281"/>
      <c r="S81" s="281"/>
      <c r="T81" s="281"/>
      <c r="U81" s="282"/>
      <c r="V81" s="363"/>
      <c r="W81" s="363"/>
      <c r="X81" s="363"/>
      <c r="Y81" s="363"/>
      <c r="Z81" s="363"/>
      <c r="AA81" s="363"/>
      <c r="AB81" s="363"/>
      <c r="AC81" s="363"/>
      <c r="AD81" s="363"/>
      <c r="AE81" s="363"/>
      <c r="AF81" s="1"/>
      <c r="AG81" s="69"/>
    </row>
    <row r="82" spans="2:33" ht="39.950000000000003" customHeight="1">
      <c r="B82" s="72"/>
      <c r="C82" s="263" t="s">
        <v>264</v>
      </c>
      <c r="D82" s="264"/>
      <c r="E82" s="264"/>
      <c r="F82" s="264"/>
      <c r="G82" s="264"/>
      <c r="H82" s="264"/>
      <c r="I82" s="264"/>
      <c r="J82" s="264"/>
      <c r="K82" s="264"/>
      <c r="L82" s="264"/>
      <c r="M82" s="264"/>
      <c r="N82" s="264"/>
      <c r="O82" s="264"/>
      <c r="P82" s="264"/>
      <c r="Q82" s="264"/>
      <c r="R82" s="264"/>
      <c r="S82" s="264"/>
      <c r="T82" s="264"/>
      <c r="U82" s="265"/>
      <c r="V82" s="364"/>
      <c r="W82" s="365"/>
      <c r="X82" s="365"/>
      <c r="Y82" s="365"/>
      <c r="Z82" s="365"/>
      <c r="AA82" s="365"/>
      <c r="AB82" s="365"/>
      <c r="AC82" s="365"/>
      <c r="AD82" s="365"/>
      <c r="AE82" s="366"/>
      <c r="AF82" s="1"/>
      <c r="AG82" s="69"/>
    </row>
    <row r="83" spans="2:33" ht="20.100000000000001" customHeight="1">
      <c r="B83" s="72"/>
      <c r="C83" s="263" t="s">
        <v>260</v>
      </c>
      <c r="D83" s="264"/>
      <c r="E83" s="264"/>
      <c r="F83" s="264"/>
      <c r="G83" s="264"/>
      <c r="H83" s="264"/>
      <c r="I83" s="264"/>
      <c r="J83" s="264"/>
      <c r="K83" s="264"/>
      <c r="L83" s="264"/>
      <c r="M83" s="264"/>
      <c r="N83" s="264"/>
      <c r="O83" s="264"/>
      <c r="P83" s="264"/>
      <c r="Q83" s="264"/>
      <c r="R83" s="264"/>
      <c r="S83" s="264"/>
      <c r="T83" s="264"/>
      <c r="U83" s="265"/>
      <c r="V83" s="364"/>
      <c r="W83" s="365"/>
      <c r="X83" s="365"/>
      <c r="Y83" s="365"/>
      <c r="Z83" s="365"/>
      <c r="AA83" s="365"/>
      <c r="AB83" s="365"/>
      <c r="AC83" s="365"/>
      <c r="AD83" s="365"/>
      <c r="AE83" s="366"/>
      <c r="AF83" s="1"/>
      <c r="AG83" s="69"/>
    </row>
    <row r="84" spans="2:33" ht="30" customHeight="1">
      <c r="B84" s="72"/>
      <c r="C84" s="263" t="s">
        <v>156</v>
      </c>
      <c r="D84" s="264"/>
      <c r="E84" s="264"/>
      <c r="F84" s="264"/>
      <c r="G84" s="264"/>
      <c r="H84" s="264"/>
      <c r="I84" s="264"/>
      <c r="J84" s="264"/>
      <c r="K84" s="264"/>
      <c r="L84" s="264"/>
      <c r="M84" s="264"/>
      <c r="N84" s="264"/>
      <c r="O84" s="264"/>
      <c r="P84" s="264"/>
      <c r="Q84" s="264"/>
      <c r="R84" s="264"/>
      <c r="S84" s="264"/>
      <c r="T84" s="264"/>
      <c r="U84" s="265"/>
      <c r="V84" s="363"/>
      <c r="W84" s="363"/>
      <c r="X84" s="363"/>
      <c r="Y84" s="363"/>
      <c r="Z84" s="363"/>
      <c r="AA84" s="363"/>
      <c r="AB84" s="363"/>
      <c r="AC84" s="363"/>
      <c r="AD84" s="363"/>
      <c r="AE84" s="363"/>
      <c r="AF84" s="1"/>
      <c r="AG84" s="69"/>
    </row>
    <row r="85" spans="2:33" ht="30" customHeight="1">
      <c r="B85" s="72"/>
      <c r="C85" s="263" t="s">
        <v>272</v>
      </c>
      <c r="D85" s="264"/>
      <c r="E85" s="264"/>
      <c r="F85" s="264"/>
      <c r="G85" s="264"/>
      <c r="H85" s="264"/>
      <c r="I85" s="264"/>
      <c r="J85" s="264"/>
      <c r="K85" s="264"/>
      <c r="L85" s="264"/>
      <c r="M85" s="264"/>
      <c r="N85" s="264"/>
      <c r="O85" s="264"/>
      <c r="P85" s="264"/>
      <c r="Q85" s="264"/>
      <c r="R85" s="264"/>
      <c r="S85" s="264"/>
      <c r="T85" s="264"/>
      <c r="U85" s="265"/>
      <c r="V85" s="356" t="s">
        <v>155</v>
      </c>
      <c r="W85" s="356"/>
      <c r="X85" s="356"/>
      <c r="Y85" s="356"/>
      <c r="Z85" s="356"/>
      <c r="AA85" s="356"/>
      <c r="AB85" s="356"/>
      <c r="AC85" s="356"/>
      <c r="AD85" s="356"/>
      <c r="AE85" s="356"/>
      <c r="AF85" s="1"/>
      <c r="AG85" s="69"/>
    </row>
    <row r="86" spans="2:33" ht="30" customHeight="1">
      <c r="B86" s="72"/>
      <c r="C86" s="280" t="s">
        <v>273</v>
      </c>
      <c r="D86" s="281"/>
      <c r="E86" s="281"/>
      <c r="F86" s="281"/>
      <c r="G86" s="281"/>
      <c r="H86" s="281"/>
      <c r="I86" s="281"/>
      <c r="J86" s="281"/>
      <c r="K86" s="281"/>
      <c r="L86" s="281"/>
      <c r="M86" s="281"/>
      <c r="N86" s="281"/>
      <c r="O86" s="281"/>
      <c r="P86" s="281"/>
      <c r="Q86" s="281"/>
      <c r="R86" s="281"/>
      <c r="S86" s="281"/>
      <c r="T86" s="281"/>
      <c r="U86" s="282"/>
      <c r="V86" s="356" t="s">
        <v>137</v>
      </c>
      <c r="W86" s="356"/>
      <c r="X86" s="356"/>
      <c r="Y86" s="356"/>
      <c r="Z86" s="356"/>
      <c r="AA86" s="356"/>
      <c r="AB86" s="356"/>
      <c r="AC86" s="356"/>
      <c r="AD86" s="356"/>
      <c r="AE86" s="356"/>
      <c r="AF86" s="1"/>
      <c r="AG86" s="69"/>
    </row>
    <row r="87" spans="2:33" ht="30" customHeight="1">
      <c r="B87" s="72"/>
      <c r="C87" s="280" t="s">
        <v>274</v>
      </c>
      <c r="D87" s="281"/>
      <c r="E87" s="281"/>
      <c r="F87" s="281"/>
      <c r="G87" s="281"/>
      <c r="H87" s="281"/>
      <c r="I87" s="281"/>
      <c r="J87" s="281"/>
      <c r="K87" s="281"/>
      <c r="L87" s="281"/>
      <c r="M87" s="281"/>
      <c r="N87" s="281"/>
      <c r="O87" s="281"/>
      <c r="P87" s="281"/>
      <c r="Q87" s="281"/>
      <c r="R87" s="281"/>
      <c r="S87" s="281"/>
      <c r="T87" s="281"/>
      <c r="U87" s="282"/>
      <c r="V87" s="260" t="s">
        <v>138</v>
      </c>
      <c r="W87" s="261"/>
      <c r="X87" s="261"/>
      <c r="Y87" s="261"/>
      <c r="Z87" s="261"/>
      <c r="AA87" s="261"/>
      <c r="AB87" s="261"/>
      <c r="AC87" s="261"/>
      <c r="AD87" s="261"/>
      <c r="AE87" s="262"/>
      <c r="AF87" s="1"/>
      <c r="AG87" s="69"/>
    </row>
    <row r="88" spans="2:33" ht="30" customHeight="1">
      <c r="B88" s="72"/>
      <c r="C88" s="263" t="s">
        <v>275</v>
      </c>
      <c r="D88" s="264"/>
      <c r="E88" s="264"/>
      <c r="F88" s="264"/>
      <c r="G88" s="264"/>
      <c r="H88" s="264"/>
      <c r="I88" s="264"/>
      <c r="J88" s="264"/>
      <c r="K88" s="264"/>
      <c r="L88" s="264"/>
      <c r="M88" s="264"/>
      <c r="N88" s="264"/>
      <c r="O88" s="264"/>
      <c r="P88" s="264"/>
      <c r="Q88" s="264"/>
      <c r="R88" s="264"/>
      <c r="S88" s="264"/>
      <c r="T88" s="264"/>
      <c r="U88" s="265"/>
      <c r="V88" s="260" t="s">
        <v>267</v>
      </c>
      <c r="W88" s="261"/>
      <c r="X88" s="261"/>
      <c r="Y88" s="261"/>
      <c r="Z88" s="261"/>
      <c r="AA88" s="261"/>
      <c r="AB88" s="261"/>
      <c r="AC88" s="261"/>
      <c r="AD88" s="261"/>
      <c r="AE88" s="262"/>
      <c r="AF88" s="1"/>
      <c r="AG88" s="69"/>
    </row>
    <row r="89" spans="2:33" ht="30" customHeight="1">
      <c r="B89" s="72"/>
      <c r="C89" s="263" t="s">
        <v>276</v>
      </c>
      <c r="D89" s="264"/>
      <c r="E89" s="264"/>
      <c r="F89" s="264"/>
      <c r="G89" s="264"/>
      <c r="H89" s="264"/>
      <c r="I89" s="264"/>
      <c r="J89" s="264"/>
      <c r="K89" s="264"/>
      <c r="L89" s="264"/>
      <c r="M89" s="264"/>
      <c r="N89" s="264"/>
      <c r="O89" s="264"/>
      <c r="P89" s="264"/>
      <c r="Q89" s="264"/>
      <c r="R89" s="264"/>
      <c r="S89" s="264"/>
      <c r="T89" s="264"/>
      <c r="U89" s="265"/>
      <c r="V89" s="260" t="s">
        <v>268</v>
      </c>
      <c r="W89" s="261"/>
      <c r="X89" s="261"/>
      <c r="Y89" s="261"/>
      <c r="Z89" s="261"/>
      <c r="AA89" s="261"/>
      <c r="AB89" s="261"/>
      <c r="AC89" s="261"/>
      <c r="AD89" s="261"/>
      <c r="AE89" s="262"/>
      <c r="AF89" s="1"/>
      <c r="AG89" s="69"/>
    </row>
    <row r="90" spans="2:33" ht="30" customHeight="1">
      <c r="B90" s="72"/>
      <c r="C90" s="263" t="s">
        <v>277</v>
      </c>
      <c r="D90" s="264"/>
      <c r="E90" s="264"/>
      <c r="F90" s="264"/>
      <c r="G90" s="264"/>
      <c r="H90" s="264"/>
      <c r="I90" s="264"/>
      <c r="J90" s="264"/>
      <c r="K90" s="264"/>
      <c r="L90" s="264"/>
      <c r="M90" s="264"/>
      <c r="N90" s="264"/>
      <c r="O90" s="264"/>
      <c r="P90" s="264"/>
      <c r="Q90" s="264"/>
      <c r="R90" s="264"/>
      <c r="S90" s="264"/>
      <c r="T90" s="264"/>
      <c r="U90" s="265"/>
      <c r="V90" s="260" t="s">
        <v>268</v>
      </c>
      <c r="W90" s="261"/>
      <c r="X90" s="261"/>
      <c r="Y90" s="261"/>
      <c r="Z90" s="261"/>
      <c r="AA90" s="261"/>
      <c r="AB90" s="261"/>
      <c r="AC90" s="261"/>
      <c r="AD90" s="261"/>
      <c r="AE90" s="262"/>
      <c r="AF90" s="1"/>
      <c r="AG90" s="69"/>
    </row>
    <row r="91" spans="2:33" ht="20.100000000000001" customHeight="1">
      <c r="B91" s="72"/>
      <c r="C91" s="280" t="s">
        <v>278</v>
      </c>
      <c r="D91" s="281"/>
      <c r="E91" s="281"/>
      <c r="F91" s="281"/>
      <c r="G91" s="281"/>
      <c r="H91" s="281"/>
      <c r="I91" s="281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2"/>
      <c r="V91" s="260"/>
      <c r="W91" s="261"/>
      <c r="X91" s="261"/>
      <c r="Y91" s="261"/>
      <c r="Z91" s="261"/>
      <c r="AA91" s="261"/>
      <c r="AB91" s="261"/>
      <c r="AC91" s="261"/>
      <c r="AD91" s="261"/>
      <c r="AE91" s="262"/>
      <c r="AF91" s="1"/>
      <c r="AG91" s="69"/>
    </row>
    <row r="92" spans="2:33" ht="20.100000000000001" customHeight="1">
      <c r="B92" s="72"/>
      <c r="C92" s="280" t="s">
        <v>279</v>
      </c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1"/>
      <c r="P92" s="281"/>
      <c r="Q92" s="281"/>
      <c r="R92" s="281"/>
      <c r="S92" s="281"/>
      <c r="T92" s="281"/>
      <c r="U92" s="282"/>
      <c r="V92" s="260"/>
      <c r="W92" s="261"/>
      <c r="X92" s="261"/>
      <c r="Y92" s="261"/>
      <c r="Z92" s="261"/>
      <c r="AA92" s="261"/>
      <c r="AB92" s="261"/>
      <c r="AC92" s="261"/>
      <c r="AD92" s="261"/>
      <c r="AE92" s="262"/>
      <c r="AF92" s="1"/>
      <c r="AG92" s="69"/>
    </row>
    <row r="93" spans="2:33" ht="19.5" customHeight="1">
      <c r="B93" s="72"/>
      <c r="C93" s="280" t="s">
        <v>280</v>
      </c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1"/>
      <c r="P93" s="281"/>
      <c r="Q93" s="281"/>
      <c r="R93" s="281"/>
      <c r="S93" s="281"/>
      <c r="T93" s="281"/>
      <c r="U93" s="282"/>
      <c r="V93" s="260"/>
      <c r="W93" s="261"/>
      <c r="X93" s="261"/>
      <c r="Y93" s="261"/>
      <c r="Z93" s="261"/>
      <c r="AA93" s="261"/>
      <c r="AB93" s="261"/>
      <c r="AC93" s="261"/>
      <c r="AD93" s="261"/>
      <c r="AE93" s="262"/>
      <c r="AF93" s="1"/>
      <c r="AG93" s="69"/>
    </row>
    <row r="94" spans="2:33" ht="9.9499999999999993" customHeight="1" thickBot="1">
      <c r="B94" s="72"/>
      <c r="C94" s="53"/>
      <c r="D94" s="54"/>
      <c r="E94" s="54"/>
      <c r="F94" s="54"/>
      <c r="G94" s="54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44"/>
      <c r="Y94" s="2"/>
      <c r="Z94" s="44"/>
      <c r="AA94" s="2"/>
      <c r="AB94" s="44"/>
      <c r="AC94" s="2"/>
      <c r="AD94" s="44"/>
      <c r="AE94" s="2"/>
      <c r="AF94" s="1"/>
      <c r="AG94" s="79"/>
    </row>
    <row r="95" spans="2:33" ht="20.100000000000001" customHeight="1" thickBot="1">
      <c r="B95" s="72"/>
      <c r="C95" s="63" t="s">
        <v>271</v>
      </c>
      <c r="D95" s="64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9"/>
      <c r="AF95" s="1"/>
      <c r="AG95" s="79"/>
    </row>
    <row r="96" spans="2:33" ht="24.95" customHeight="1">
      <c r="B96" s="72"/>
      <c r="C96" s="341" t="s">
        <v>325</v>
      </c>
      <c r="D96" s="342"/>
      <c r="E96" s="342"/>
      <c r="F96" s="342"/>
      <c r="G96" s="342"/>
      <c r="H96" s="342"/>
      <c r="I96" s="342"/>
      <c r="J96" s="342"/>
      <c r="K96" s="342"/>
      <c r="L96" s="342"/>
      <c r="M96" s="342"/>
      <c r="N96" s="343"/>
      <c r="O96" s="344" t="s">
        <v>315</v>
      </c>
      <c r="P96" s="345"/>
      <c r="Q96" s="345"/>
      <c r="R96" s="345"/>
      <c r="S96" s="345"/>
      <c r="T96" s="345"/>
      <c r="U96" s="345"/>
      <c r="V96" s="345"/>
      <c r="W96" s="345"/>
      <c r="X96" s="345"/>
      <c r="Y96" s="345"/>
      <c r="Z96" s="345"/>
      <c r="AA96" s="345"/>
      <c r="AB96" s="345"/>
      <c r="AC96" s="345"/>
      <c r="AD96" s="345"/>
      <c r="AE96" s="346"/>
      <c r="AF96" s="1"/>
      <c r="AG96" s="79"/>
    </row>
    <row r="97" spans="2:33">
      <c r="B97" s="72"/>
      <c r="C97" s="347" t="s">
        <v>326</v>
      </c>
      <c r="D97" s="348"/>
      <c r="E97" s="348"/>
      <c r="F97" s="348"/>
      <c r="G97" s="348"/>
      <c r="H97" s="348"/>
      <c r="I97" s="348"/>
      <c r="J97" s="348"/>
      <c r="K97" s="348"/>
      <c r="L97" s="348"/>
      <c r="M97" s="348"/>
      <c r="N97" s="349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65"/>
      <c r="AF97" s="1"/>
      <c r="AG97" s="79"/>
    </row>
    <row r="98" spans="2:33">
      <c r="B98" s="72"/>
      <c r="C98" s="347" t="s">
        <v>327</v>
      </c>
      <c r="D98" s="348"/>
      <c r="E98" s="348"/>
      <c r="F98" s="348"/>
      <c r="G98" s="348"/>
      <c r="H98" s="348"/>
      <c r="I98" s="348"/>
      <c r="J98" s="348"/>
      <c r="K98" s="348"/>
      <c r="L98" s="348"/>
      <c r="M98" s="348"/>
      <c r="N98" s="349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65"/>
      <c r="AF98" s="1"/>
      <c r="AG98" s="79"/>
    </row>
    <row r="99" spans="2:33">
      <c r="B99" s="72"/>
      <c r="C99" s="347" t="s">
        <v>328</v>
      </c>
      <c r="D99" s="348"/>
      <c r="E99" s="348"/>
      <c r="F99" s="348"/>
      <c r="G99" s="348"/>
      <c r="H99" s="348"/>
      <c r="I99" s="348"/>
      <c r="J99" s="348"/>
      <c r="K99" s="348"/>
      <c r="L99" s="348"/>
      <c r="M99" s="348"/>
      <c r="N99" s="349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65"/>
      <c r="AF99" s="1"/>
      <c r="AG99" s="79"/>
    </row>
    <row r="100" spans="2:33">
      <c r="B100" s="72"/>
      <c r="C100" s="347" t="s">
        <v>329</v>
      </c>
      <c r="D100" s="348"/>
      <c r="E100" s="348"/>
      <c r="F100" s="348"/>
      <c r="G100" s="348"/>
      <c r="H100" s="348"/>
      <c r="I100" s="348"/>
      <c r="J100" s="348"/>
      <c r="K100" s="348"/>
      <c r="L100" s="348"/>
      <c r="M100" s="348"/>
      <c r="N100" s="348"/>
      <c r="O100" s="338"/>
      <c r="P100" s="339"/>
      <c r="Q100" s="339"/>
      <c r="R100" s="339"/>
      <c r="S100" s="339"/>
      <c r="T100" s="20"/>
      <c r="U100" s="339"/>
      <c r="V100" s="339"/>
      <c r="W100" s="339"/>
      <c r="X100" s="339"/>
      <c r="Y100" s="20"/>
      <c r="Z100" s="339"/>
      <c r="AA100" s="339"/>
      <c r="AB100" s="339"/>
      <c r="AC100" s="339"/>
      <c r="AD100" s="339"/>
      <c r="AE100" s="340"/>
      <c r="AF100" s="1"/>
      <c r="AG100" s="21"/>
    </row>
    <row r="101" spans="2:33">
      <c r="B101" s="72"/>
      <c r="C101" s="347" t="s">
        <v>330</v>
      </c>
      <c r="D101" s="348"/>
      <c r="E101" s="348"/>
      <c r="F101" s="348"/>
      <c r="G101" s="348"/>
      <c r="H101" s="348"/>
      <c r="I101" s="348"/>
      <c r="J101" s="348"/>
      <c r="K101" s="348"/>
      <c r="L101" s="348"/>
      <c r="M101" s="348"/>
      <c r="N101" s="348"/>
      <c r="O101" s="338"/>
      <c r="P101" s="339"/>
      <c r="Q101" s="339"/>
      <c r="R101" s="339"/>
      <c r="S101" s="339"/>
      <c r="T101" s="19"/>
      <c r="U101" s="339"/>
      <c r="V101" s="339"/>
      <c r="W101" s="339"/>
      <c r="X101" s="339"/>
      <c r="Y101" s="19"/>
      <c r="Z101" s="339"/>
      <c r="AA101" s="339"/>
      <c r="AB101" s="339"/>
      <c r="AC101" s="339"/>
      <c r="AD101" s="339"/>
      <c r="AE101" s="340"/>
      <c r="AF101" s="1"/>
      <c r="AG101" s="79"/>
    </row>
    <row r="102" spans="2:33" ht="15" customHeight="1">
      <c r="B102" s="72"/>
      <c r="C102" s="347" t="s">
        <v>331</v>
      </c>
      <c r="D102" s="348"/>
      <c r="E102" s="348"/>
      <c r="F102" s="348"/>
      <c r="G102" s="348"/>
      <c r="H102" s="348"/>
      <c r="I102" s="348"/>
      <c r="J102" s="348"/>
      <c r="K102" s="348"/>
      <c r="L102" s="348"/>
      <c r="M102" s="348"/>
      <c r="N102" s="348"/>
      <c r="O102" s="338"/>
      <c r="P102" s="339"/>
      <c r="Q102" s="339"/>
      <c r="R102" s="339"/>
      <c r="S102" s="339"/>
      <c r="T102" s="2"/>
      <c r="U102" s="339"/>
      <c r="V102" s="339"/>
      <c r="W102" s="339"/>
      <c r="X102" s="339"/>
      <c r="Y102" s="2"/>
      <c r="Z102" s="339"/>
      <c r="AA102" s="339"/>
      <c r="AB102" s="339"/>
      <c r="AC102" s="339"/>
      <c r="AD102" s="339"/>
      <c r="AE102" s="340"/>
      <c r="AF102" s="1"/>
      <c r="AG102" s="69"/>
    </row>
    <row r="103" spans="2:33" ht="15" customHeight="1">
      <c r="B103" s="72"/>
      <c r="C103" s="155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7"/>
      <c r="O103" s="137"/>
      <c r="P103" s="137"/>
      <c r="Q103" s="137"/>
      <c r="R103" s="137"/>
      <c r="S103" s="137"/>
      <c r="T103" s="2"/>
      <c r="U103" s="137"/>
      <c r="V103" s="137"/>
      <c r="W103" s="137"/>
      <c r="X103" s="137"/>
      <c r="Y103" s="2"/>
      <c r="Z103" s="137"/>
      <c r="AA103" s="137"/>
      <c r="AB103" s="137"/>
      <c r="AC103" s="137"/>
      <c r="AD103" s="137"/>
      <c r="AE103" s="138"/>
      <c r="AF103" s="1"/>
      <c r="AG103" s="69"/>
    </row>
    <row r="104" spans="2:33" ht="15" customHeight="1">
      <c r="B104" s="72"/>
      <c r="C104" s="350" t="s">
        <v>332</v>
      </c>
      <c r="D104" s="351"/>
      <c r="E104" s="351"/>
      <c r="F104" s="351"/>
      <c r="G104" s="351"/>
      <c r="H104" s="351"/>
      <c r="I104" s="351"/>
      <c r="J104" s="351"/>
      <c r="K104" s="351"/>
      <c r="L104" s="351"/>
      <c r="M104" s="351"/>
      <c r="N104" s="352"/>
      <c r="O104" s="137"/>
      <c r="P104" s="137"/>
      <c r="Q104" s="137"/>
      <c r="R104" s="137"/>
      <c r="S104" s="137"/>
      <c r="T104" s="2"/>
      <c r="U104" s="137"/>
      <c r="V104" s="137"/>
      <c r="W104" s="137"/>
      <c r="X104" s="137"/>
      <c r="Y104" s="2"/>
      <c r="Z104" s="137"/>
      <c r="AA104" s="137"/>
      <c r="AB104" s="137"/>
      <c r="AC104" s="137"/>
      <c r="AD104" s="137"/>
      <c r="AE104" s="138"/>
      <c r="AF104" s="1"/>
      <c r="AG104" s="69"/>
    </row>
    <row r="105" spans="2:33" ht="15" customHeight="1" thickBot="1">
      <c r="B105" s="72"/>
      <c r="C105" s="353"/>
      <c r="D105" s="354"/>
      <c r="E105" s="354"/>
      <c r="F105" s="354"/>
      <c r="G105" s="354"/>
      <c r="H105" s="354"/>
      <c r="I105" s="354"/>
      <c r="J105" s="354"/>
      <c r="K105" s="354"/>
      <c r="L105" s="354"/>
      <c r="M105" s="354"/>
      <c r="N105" s="355"/>
      <c r="O105" s="336" t="s">
        <v>52</v>
      </c>
      <c r="P105" s="336"/>
      <c r="Q105" s="336"/>
      <c r="R105" s="336"/>
      <c r="S105" s="336"/>
      <c r="T105" s="30"/>
      <c r="U105" s="336" t="s">
        <v>53</v>
      </c>
      <c r="V105" s="336"/>
      <c r="W105" s="336"/>
      <c r="X105" s="336"/>
      <c r="Y105" s="30"/>
      <c r="Z105" s="336" t="s">
        <v>54</v>
      </c>
      <c r="AA105" s="336"/>
      <c r="AB105" s="336"/>
      <c r="AC105" s="336"/>
      <c r="AD105" s="336"/>
      <c r="AE105" s="337"/>
      <c r="AF105" s="1"/>
      <c r="AG105" s="69"/>
    </row>
    <row r="106" spans="2:33" ht="9.9499999999999993" customHeight="1" thickBot="1">
      <c r="B106" s="81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7"/>
      <c r="AG106" s="69"/>
    </row>
    <row r="107" spans="2:33" ht="30" customHeight="1">
      <c r="B107" s="258" t="s">
        <v>334</v>
      </c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8"/>
      <c r="N107" s="258"/>
      <c r="O107" s="258"/>
      <c r="P107" s="258"/>
      <c r="Q107" s="258"/>
      <c r="R107" s="258"/>
      <c r="S107" s="258"/>
      <c r="T107" s="258"/>
      <c r="U107" s="258"/>
      <c r="V107" s="258"/>
      <c r="W107" s="258"/>
      <c r="X107" s="258"/>
      <c r="Y107" s="258"/>
      <c r="Z107" s="258"/>
      <c r="AA107" s="258"/>
      <c r="AB107" s="258"/>
      <c r="AC107" s="258"/>
      <c r="AD107" s="258"/>
      <c r="AE107" s="258"/>
      <c r="AF107" s="258"/>
      <c r="AG107" s="69"/>
    </row>
  </sheetData>
  <sheetProtection algorithmName="SHA-512" hashValue="0MyEPWrraMTH/FQOkA+m9CvESjx5noeeDbzbBsFha/sYK+jYTQYnIu0mqy3y+xER39u8N5SfePjVDZm5UlYOMQ==" saltValue="nvyVVNdFNeDkf/lrt4wjAw==" spinCount="100000" sheet="1" formatCells="0" formatRows="0" selectLockedCells="1"/>
  <mergeCells count="231">
    <mergeCell ref="T55:X55"/>
    <mergeCell ref="T56:X56"/>
    <mergeCell ref="T57:X57"/>
    <mergeCell ref="C67:F67"/>
    <mergeCell ref="D61:F61"/>
    <mergeCell ref="G61:K61"/>
    <mergeCell ref="L61:O61"/>
    <mergeCell ref="W43:AE43"/>
    <mergeCell ref="W44:AE44"/>
    <mergeCell ref="M43:U43"/>
    <mergeCell ref="M44:U44"/>
    <mergeCell ref="C64:AE64"/>
    <mergeCell ref="D55:F55"/>
    <mergeCell ref="C49:AE49"/>
    <mergeCell ref="Y53:AE53"/>
    <mergeCell ref="T54:X54"/>
    <mergeCell ref="Y51:AE51"/>
    <mergeCell ref="Y56:AE56"/>
    <mergeCell ref="L60:O60"/>
    <mergeCell ref="P59:S59"/>
    <mergeCell ref="T58:X58"/>
    <mergeCell ref="C92:U92"/>
    <mergeCell ref="V92:AE92"/>
    <mergeCell ref="C91:U91"/>
    <mergeCell ref="V91:AE91"/>
    <mergeCell ref="L53:O53"/>
    <mergeCell ref="P53:S53"/>
    <mergeCell ref="T53:X53"/>
    <mergeCell ref="D62:F62"/>
    <mergeCell ref="T59:X59"/>
    <mergeCell ref="T60:X60"/>
    <mergeCell ref="C65:AE65"/>
    <mergeCell ref="AC73:AE73"/>
    <mergeCell ref="I69:U69"/>
    <mergeCell ref="W69:AE69"/>
    <mergeCell ref="J71:N71"/>
    <mergeCell ref="Y57:AE57"/>
    <mergeCell ref="Y58:AE58"/>
    <mergeCell ref="P60:S60"/>
    <mergeCell ref="G55:K55"/>
    <mergeCell ref="G56:K56"/>
    <mergeCell ref="G57:K57"/>
    <mergeCell ref="G58:K58"/>
    <mergeCell ref="D53:F53"/>
    <mergeCell ref="D54:F54"/>
    <mergeCell ref="C40:K40"/>
    <mergeCell ref="M40:U40"/>
    <mergeCell ref="W40:AE40"/>
    <mergeCell ref="AC27:AD27"/>
    <mergeCell ref="P46:X46"/>
    <mergeCell ref="Z46:AA46"/>
    <mergeCell ref="AB46:AE46"/>
    <mergeCell ref="C35:P35"/>
    <mergeCell ref="R35:W35"/>
    <mergeCell ref="Y35:AE35"/>
    <mergeCell ref="C36:P36"/>
    <mergeCell ref="R36:W36"/>
    <mergeCell ref="Y36:AE36"/>
    <mergeCell ref="M41:U41"/>
    <mergeCell ref="W41:X41"/>
    <mergeCell ref="Y41:AC41"/>
    <mergeCell ref="C31:S31"/>
    <mergeCell ref="R29:S29"/>
    <mergeCell ref="G59:K59"/>
    <mergeCell ref="I29:L29"/>
    <mergeCell ref="N29:O29"/>
    <mergeCell ref="T27:V27"/>
    <mergeCell ref="D57:F57"/>
    <mergeCell ref="G51:K51"/>
    <mergeCell ref="T51:X51"/>
    <mergeCell ref="P51:S51"/>
    <mergeCell ref="G53:K53"/>
    <mergeCell ref="D51:F51"/>
    <mergeCell ref="D52:F52"/>
    <mergeCell ref="C47:K47"/>
    <mergeCell ref="M47:O47"/>
    <mergeCell ref="P47:X47"/>
    <mergeCell ref="G52:K52"/>
    <mergeCell ref="T52:X52"/>
    <mergeCell ref="L51:O51"/>
    <mergeCell ref="L52:O52"/>
    <mergeCell ref="O27:S27"/>
    <mergeCell ref="C46:K46"/>
    <mergeCell ref="M46:O46"/>
    <mergeCell ref="C38:AE38"/>
    <mergeCell ref="C44:K44"/>
    <mergeCell ref="P71:S71"/>
    <mergeCell ref="T71:U71"/>
    <mergeCell ref="X71:AE71"/>
    <mergeCell ref="Y54:AE54"/>
    <mergeCell ref="L54:O54"/>
    <mergeCell ref="P54:S54"/>
    <mergeCell ref="Y55:AE55"/>
    <mergeCell ref="D60:F60"/>
    <mergeCell ref="D56:F56"/>
    <mergeCell ref="Y59:AE59"/>
    <mergeCell ref="Y60:AE60"/>
    <mergeCell ref="C69:H69"/>
    <mergeCell ref="D59:F59"/>
    <mergeCell ref="G60:K60"/>
    <mergeCell ref="L59:O59"/>
    <mergeCell ref="D58:F58"/>
    <mergeCell ref="Q67:U67"/>
    <mergeCell ref="V67:AE67"/>
    <mergeCell ref="G54:K54"/>
    <mergeCell ref="P61:S61"/>
    <mergeCell ref="T61:X61"/>
    <mergeCell ref="Z47:AA47"/>
    <mergeCell ref="AB47:AE47"/>
    <mergeCell ref="C33:N33"/>
    <mergeCell ref="P33:W33"/>
    <mergeCell ref="Y33:AE33"/>
    <mergeCell ref="Y61:AE61"/>
    <mergeCell ref="V19:AA19"/>
    <mergeCell ref="AB19:AE19"/>
    <mergeCell ref="C87:U87"/>
    <mergeCell ref="V87:AE87"/>
    <mergeCell ref="C7:AE7"/>
    <mergeCell ref="C12:P12"/>
    <mergeCell ref="R12:AE12"/>
    <mergeCell ref="C13:P13"/>
    <mergeCell ref="D15:E15"/>
    <mergeCell ref="R13:S13"/>
    <mergeCell ref="AB13:AE13"/>
    <mergeCell ref="AC9:AE9"/>
    <mergeCell ref="C10:P10"/>
    <mergeCell ref="C9:P9"/>
    <mergeCell ref="R9:W9"/>
    <mergeCell ref="Y9:AB9"/>
    <mergeCell ref="N15:P15"/>
    <mergeCell ref="Q15:R15"/>
    <mergeCell ref="T15:U15"/>
    <mergeCell ref="V15:AE15"/>
    <mergeCell ref="V84:AE84"/>
    <mergeCell ref="V83:AE83"/>
    <mergeCell ref="C85:U85"/>
    <mergeCell ref="V85:AE85"/>
    <mergeCell ref="C78:U78"/>
    <mergeCell ref="C79:U79"/>
    <mergeCell ref="C80:U80"/>
    <mergeCell ref="C81:U81"/>
    <mergeCell ref="C86:U86"/>
    <mergeCell ref="C83:U83"/>
    <mergeCell ref="B107:AF107"/>
    <mergeCell ref="O105:S105"/>
    <mergeCell ref="U105:X105"/>
    <mergeCell ref="Z105:AE105"/>
    <mergeCell ref="O100:S102"/>
    <mergeCell ref="U100:X102"/>
    <mergeCell ref="Z100:AE102"/>
    <mergeCell ref="C96:N96"/>
    <mergeCell ref="O96:AE96"/>
    <mergeCell ref="C97:N97"/>
    <mergeCell ref="C98:N98"/>
    <mergeCell ref="C99:N99"/>
    <mergeCell ref="C100:N100"/>
    <mergeCell ref="C101:N101"/>
    <mergeCell ref="C102:N102"/>
    <mergeCell ref="C104:N105"/>
    <mergeCell ref="I15:L15"/>
    <mergeCell ref="Z13:AA13"/>
    <mergeCell ref="C29:E29"/>
    <mergeCell ref="G17:AE17"/>
    <mergeCell ref="C17:F17"/>
    <mergeCell ref="AC25:AD25"/>
    <mergeCell ref="V21:X21"/>
    <mergeCell ref="T13:Y13"/>
    <mergeCell ref="C23:D23"/>
    <mergeCell ref="G23:J23"/>
    <mergeCell ref="M23:P23"/>
    <mergeCell ref="C19:T19"/>
    <mergeCell ref="Y21:AE21"/>
    <mergeCell ref="Q23:AE23"/>
    <mergeCell ref="F29:G29"/>
    <mergeCell ref="V29:Z29"/>
    <mergeCell ref="AA29:AE29"/>
    <mergeCell ref="I25:J25"/>
    <mergeCell ref="L25:O25"/>
    <mergeCell ref="Z25:AA25"/>
    <mergeCell ref="W25:Y25"/>
    <mergeCell ref="C25:H25"/>
    <mergeCell ref="P25:Q25"/>
    <mergeCell ref="S25:T25"/>
    <mergeCell ref="B1:F1"/>
    <mergeCell ref="L55:O55"/>
    <mergeCell ref="L56:O56"/>
    <mergeCell ref="L57:O57"/>
    <mergeCell ref="L58:O58"/>
    <mergeCell ref="P55:S55"/>
    <mergeCell ref="P56:S56"/>
    <mergeCell ref="P57:S57"/>
    <mergeCell ref="P58:S58"/>
    <mergeCell ref="C21:F21"/>
    <mergeCell ref="G21:T21"/>
    <mergeCell ref="R10:W10"/>
    <mergeCell ref="F3:AE5"/>
    <mergeCell ref="C27:F27"/>
    <mergeCell ref="P52:S52"/>
    <mergeCell ref="Y52:AE52"/>
    <mergeCell ref="T31:AE31"/>
    <mergeCell ref="Y10:AB10"/>
    <mergeCell ref="AC10:AE10"/>
    <mergeCell ref="C43:K43"/>
    <mergeCell ref="C41:K41"/>
    <mergeCell ref="X27:AB27"/>
    <mergeCell ref="G27:M27"/>
    <mergeCell ref="G15:H15"/>
    <mergeCell ref="V93:AE93"/>
    <mergeCell ref="C90:U90"/>
    <mergeCell ref="V90:AE90"/>
    <mergeCell ref="E73:W73"/>
    <mergeCell ref="C71:E71"/>
    <mergeCell ref="F71:G71"/>
    <mergeCell ref="C84:U84"/>
    <mergeCell ref="C82:U82"/>
    <mergeCell ref="G62:AE62"/>
    <mergeCell ref="G67:O67"/>
    <mergeCell ref="C93:U93"/>
    <mergeCell ref="C88:U88"/>
    <mergeCell ref="V88:AE88"/>
    <mergeCell ref="C89:U89"/>
    <mergeCell ref="V89:AE89"/>
    <mergeCell ref="C73:D73"/>
    <mergeCell ref="Y73:AB73"/>
    <mergeCell ref="V86:AE86"/>
    <mergeCell ref="V78:AE78"/>
    <mergeCell ref="C76:AE76"/>
    <mergeCell ref="V79:AE79"/>
    <mergeCell ref="V80:AE80"/>
    <mergeCell ref="V81:AE81"/>
    <mergeCell ref="V82:AE82"/>
  </mergeCells>
  <conditionalFormatting sqref="C10:P10 G17 AA29">
    <cfRule type="containsBlanks" dxfId="63" priority="110">
      <formula>LEN(TRIM(C10))=0</formula>
    </cfRule>
  </conditionalFormatting>
  <conditionalFormatting sqref="R10:W10">
    <cfRule type="containsBlanks" dxfId="62" priority="103">
      <formula>LEN(TRIM(R10))=0</formula>
    </cfRule>
  </conditionalFormatting>
  <conditionalFormatting sqref="AC9:AE10">
    <cfRule type="containsBlanks" dxfId="61" priority="102">
      <formula>LEN(TRIM(AC9))=0</formula>
    </cfRule>
  </conditionalFormatting>
  <conditionalFormatting sqref="C13:P13">
    <cfRule type="containsBlanks" dxfId="60" priority="104">
      <formula>LEN(TRIM(C13))=0</formula>
    </cfRule>
  </conditionalFormatting>
  <conditionalFormatting sqref="T13">
    <cfRule type="containsBlanks" dxfId="59" priority="105">
      <formula>LEN(TRIM(T13))=0</formula>
    </cfRule>
  </conditionalFormatting>
  <conditionalFormatting sqref="D15:E15">
    <cfRule type="containsBlanks" dxfId="58" priority="106">
      <formula>LEN(TRIM(D15))=0</formula>
    </cfRule>
  </conditionalFormatting>
  <conditionalFormatting sqref="Q15:R15">
    <cfRule type="containsBlanks" dxfId="57" priority="108">
      <formula>LEN(TRIM(Q15))=0</formula>
    </cfRule>
  </conditionalFormatting>
  <conditionalFormatting sqref="I15:L15">
    <cfRule type="containsBlanks" dxfId="56" priority="109">
      <formula>LEN(TRIM(I15))=0</formula>
    </cfRule>
  </conditionalFormatting>
  <conditionalFormatting sqref="V15:AE15">
    <cfRule type="containsBlanks" dxfId="55" priority="107">
      <formula>LEN(TRIM(V15))=0</formula>
    </cfRule>
  </conditionalFormatting>
  <conditionalFormatting sqref="G21">
    <cfRule type="containsBlanks" dxfId="54" priority="101">
      <formula>LEN(TRIM(G21))=0</formula>
    </cfRule>
  </conditionalFormatting>
  <conditionalFormatting sqref="C19:T19">
    <cfRule type="containsBlanks" dxfId="53" priority="99">
      <formula>LEN(TRIM(C19))=0</formula>
    </cfRule>
  </conditionalFormatting>
  <conditionalFormatting sqref="AC27">
    <cfRule type="containsBlanks" dxfId="52" priority="97">
      <formula>LEN(TRIM(AC27))=0</formula>
    </cfRule>
  </conditionalFormatting>
  <conditionalFormatting sqref="Y21">
    <cfRule type="containsBlanks" dxfId="51" priority="98">
      <formula>LEN(TRIM(Y21))=0</formula>
    </cfRule>
  </conditionalFormatting>
  <conditionalFormatting sqref="AE27">
    <cfRule type="containsBlanks" dxfId="50" priority="96">
      <formula>LEN(TRIM(AE27))=0</formula>
    </cfRule>
  </conditionalFormatting>
  <conditionalFormatting sqref="AA29 T31">
    <cfRule type="containsBlanks" dxfId="49" priority="94">
      <formula>LEN(TRIM(T29))=0</formula>
    </cfRule>
  </conditionalFormatting>
  <conditionalFormatting sqref="P33">
    <cfRule type="containsBlanks" dxfId="48" priority="92">
      <formula>LEN(TRIM(P33))=0</formula>
    </cfRule>
  </conditionalFormatting>
  <conditionalFormatting sqref="Y33">
    <cfRule type="containsBlanks" dxfId="47" priority="93">
      <formula>LEN(TRIM(Y33))=0</formula>
    </cfRule>
  </conditionalFormatting>
  <conditionalFormatting sqref="T27">
    <cfRule type="containsBlanks" dxfId="46" priority="91">
      <formula>LEN(TRIM(T27))=0</formula>
    </cfRule>
  </conditionalFormatting>
  <conditionalFormatting sqref="G27">
    <cfRule type="containsBlanks" dxfId="45" priority="90">
      <formula>LEN(TRIM(G27))=0</formula>
    </cfRule>
  </conditionalFormatting>
  <conditionalFormatting sqref="AC27:AD27">
    <cfRule type="containsBlanks" dxfId="44" priority="89">
      <formula>LEN(TRIM(AC27))=0</formula>
    </cfRule>
  </conditionalFormatting>
  <conditionalFormatting sqref="P46:X47">
    <cfRule type="containsBlanks" dxfId="43" priority="76">
      <formula>LEN(TRIM(P46))=0</formula>
    </cfRule>
  </conditionalFormatting>
  <conditionalFormatting sqref="AB46:AE46">
    <cfRule type="containsBlanks" dxfId="42" priority="77">
      <formula>LEN(TRIM(AB46))=0</formula>
    </cfRule>
  </conditionalFormatting>
  <conditionalFormatting sqref="C47:K47">
    <cfRule type="containsBlanks" dxfId="41" priority="75">
      <formula>LEN(TRIM(C47))=0</formula>
    </cfRule>
  </conditionalFormatting>
  <conditionalFormatting sqref="AB47">
    <cfRule type="containsBlanks" dxfId="40" priority="78">
      <formula>LEN(TRIM(AB47))=0</formula>
    </cfRule>
  </conditionalFormatting>
  <conditionalFormatting sqref="Y41:AC41">
    <cfRule type="containsBlanks" dxfId="39" priority="83">
      <formula>LEN(TRIM(Y41))=0</formula>
    </cfRule>
  </conditionalFormatting>
  <conditionalFormatting sqref="C41:K41">
    <cfRule type="containsBlanks" dxfId="38" priority="82">
      <formula>LEN(TRIM(C41))=0</formula>
    </cfRule>
  </conditionalFormatting>
  <conditionalFormatting sqref="M41 AE41">
    <cfRule type="containsBlanks" dxfId="37" priority="81">
      <formula>LEN(TRIM(M41))=0</formula>
    </cfRule>
  </conditionalFormatting>
  <conditionalFormatting sqref="C44:K44">
    <cfRule type="containsBlanks" dxfId="36" priority="80">
      <formula>LEN(TRIM(C44))=0</formula>
    </cfRule>
  </conditionalFormatting>
  <conditionalFormatting sqref="G67">
    <cfRule type="containsBlanks" dxfId="35" priority="73">
      <formula>LEN(TRIM(G67))=0</formula>
    </cfRule>
  </conditionalFormatting>
  <conditionalFormatting sqref="I69">
    <cfRule type="containsBlanks" dxfId="34" priority="72">
      <formula>LEN(TRIM(I69))=0</formula>
    </cfRule>
  </conditionalFormatting>
  <conditionalFormatting sqref="E73">
    <cfRule type="containsBlanks" dxfId="33" priority="70">
      <formula>LEN(TRIM(E73))=0</formula>
    </cfRule>
  </conditionalFormatting>
  <conditionalFormatting sqref="AC73">
    <cfRule type="containsBlanks" dxfId="32" priority="69">
      <formula>LEN(TRIM(AC73))=0</formula>
    </cfRule>
  </conditionalFormatting>
  <conditionalFormatting sqref="V71">
    <cfRule type="containsBlanks" dxfId="31" priority="68">
      <formula>LEN(TRIM(V71))=0</formula>
    </cfRule>
  </conditionalFormatting>
  <conditionalFormatting sqref="H71">
    <cfRule type="containsBlanks" dxfId="30" priority="60">
      <formula>LEN(TRIM(H71))=0</formula>
    </cfRule>
  </conditionalFormatting>
  <conditionalFormatting sqref="F71:G71">
    <cfRule type="cellIs" dxfId="29" priority="9" operator="lessThanOrEqual">
      <formula>75</formula>
    </cfRule>
    <cfRule type="cellIs" dxfId="28" priority="11" operator="greaterThan">
      <formula>5000</formula>
    </cfRule>
    <cfRule type="expression" dxfId="27" priority="12">
      <formula>AND($F$71&gt;75,$F$71&lt;=5000)</formula>
    </cfRule>
    <cfRule type="containsBlanks" dxfId="26" priority="57">
      <formula>LEN(TRIM(F71))=0</formula>
    </cfRule>
  </conditionalFormatting>
  <conditionalFormatting sqref="T71">
    <cfRule type="containsBlanks" dxfId="25" priority="111">
      <formula>LEN(TRIM(T71))=0</formula>
    </cfRule>
  </conditionalFormatting>
  <conditionalFormatting sqref="X71">
    <cfRule type="containsBlanks" dxfId="24" priority="41">
      <formula>LEN(TRIM(X71))=0</formula>
    </cfRule>
  </conditionalFormatting>
  <conditionalFormatting sqref="J71:N71">
    <cfRule type="containsText" dxfId="23" priority="34" operator="containsText" text="PD ABAIXO DO LIMITE">
      <formula>NOT(ISERROR(SEARCH("PD ABAIXO DO LIMITE",J71)))</formula>
    </cfRule>
    <cfRule type="containsText" dxfId="22" priority="35" operator="containsText" text="PD OK">
      <formula>NOT(ISERROR(SEARCH("PD OK",J71)))</formula>
    </cfRule>
    <cfRule type="containsBlanks" dxfId="21" priority="36">
      <formula>LEN(TRIM(J71))=0</formula>
    </cfRule>
  </conditionalFormatting>
  <conditionalFormatting sqref="J70:N71">
    <cfRule type="containsText" dxfId="20" priority="33" operator="containsText" text="PD ACIMA DO LIMITE">
      <formula>NOT(ISERROR(SEARCH("PD ACIMA DO LIMITE",J70)))</formula>
    </cfRule>
  </conditionalFormatting>
  <conditionalFormatting sqref="T71:U71">
    <cfRule type="expression" dxfId="19" priority="20">
      <formula>$X$71="PG ACIMA DO LIMITE DE MINIGERAÇÃO"</formula>
    </cfRule>
    <cfRule type="expression" dxfId="18" priority="21">
      <formula>$X$71="PG ABAIXO DO LIMITE DE MINIGERAÇÃO"</formula>
    </cfRule>
    <cfRule type="expression" dxfId="17" priority="22">
      <formula>$X$71="NOK: PG &gt; PD"</formula>
    </cfRule>
    <cfRule type="expression" dxfId="16" priority="27">
      <formula>$X$71="OK: PG ≤ PD"</formula>
    </cfRule>
  </conditionalFormatting>
  <conditionalFormatting sqref="X71:AE71">
    <cfRule type="containsText" dxfId="15" priority="23" operator="containsText" text="PG ACIMA DO LIMITE DE MINIGERAÇÃO">
      <formula>NOT(ISERROR(SEARCH("PG ACIMA DO LIMITE DE MINIGERAÇÃO",X71)))</formula>
    </cfRule>
    <cfRule type="containsText" dxfId="14" priority="24" operator="containsText" text="PG ABAIXO DO LIMITE DE MINIGERAÇÃO">
      <formula>NOT(ISERROR(SEARCH("PG ABAIXO DO LIMITE DE MINIGERAÇÃO",X71)))</formula>
    </cfRule>
    <cfRule type="containsText" dxfId="13" priority="25" operator="containsText" text="NOK: PG &gt; PD">
      <formula>NOT(ISERROR(SEARCH("NOK: PG &gt; PD",X71)))</formula>
    </cfRule>
    <cfRule type="containsText" dxfId="12" priority="26" operator="containsText" text="OK: PG ≤ PD">
      <formula>NOT(ISERROR(SEARCH("OK: PG ≤ PD",X71)))</formula>
    </cfRule>
  </conditionalFormatting>
  <conditionalFormatting sqref="I25:J25">
    <cfRule type="containsBlanks" dxfId="11" priority="19">
      <formula>LEN(TRIM(I25))=0</formula>
    </cfRule>
  </conditionalFormatting>
  <conditionalFormatting sqref="P25:Q25">
    <cfRule type="containsBlanks" dxfId="10" priority="15">
      <formula>LEN(TRIM(P25))=0</formula>
    </cfRule>
  </conditionalFormatting>
  <conditionalFormatting sqref="Z25:AA25">
    <cfRule type="containsBlanks" dxfId="9" priority="14">
      <formula>LEN(TRIM(Z25))=0</formula>
    </cfRule>
  </conditionalFormatting>
  <conditionalFormatting sqref="N29">
    <cfRule type="containsBlanks" dxfId="8" priority="13">
      <formula>LEN(TRIM(N29))=0</formula>
    </cfRule>
  </conditionalFormatting>
  <conditionalFormatting sqref="F29:G29">
    <cfRule type="containsBlanks" dxfId="7" priority="8">
      <formula>LEN(TRIM(F29))=0</formula>
    </cfRule>
  </conditionalFormatting>
  <conditionalFormatting sqref="E23">
    <cfRule type="containsBlanks" dxfId="6" priority="6">
      <formula>LEN(TRIM(E23))=0</formula>
    </cfRule>
  </conditionalFormatting>
  <conditionalFormatting sqref="D62:F62">
    <cfRule type="cellIs" dxfId="5" priority="3" operator="equal">
      <formula>0</formula>
    </cfRule>
  </conditionalFormatting>
  <conditionalFormatting sqref="W44">
    <cfRule type="containsBlanks" dxfId="4" priority="1">
      <formula>LEN(TRIM(W44))=0</formula>
    </cfRule>
  </conditionalFormatting>
  <dataValidations disablePrompts="1" count="12">
    <dataValidation type="list" allowBlank="1" showInputMessage="1" showErrorMessage="1" sqref="Q15:R15">
      <formula1>$AK$3:$AK$8</formula1>
    </dataValidation>
    <dataValidation type="list" allowBlank="1" showInputMessage="1" showErrorMessage="1" sqref="K23">
      <formula1>$AJ$7:$AJ$8</formula1>
    </dataValidation>
    <dataValidation type="list" allowBlank="1" showInputMessage="1" showErrorMessage="1" sqref="Y21">
      <formula1>$AL$3:$AL$10</formula1>
    </dataValidation>
    <dataValidation type="list" allowBlank="1" showInputMessage="1" showErrorMessage="1" sqref="G17">
      <formula1>$AN$3:$AN$6</formula1>
    </dataValidation>
    <dataValidation type="list" allowBlank="1" showInputMessage="1" showErrorMessage="1" sqref="T27">
      <formula1>$AJ$3:$AJ$4</formula1>
    </dataValidation>
    <dataValidation type="list" allowBlank="1" showInputMessage="1" showErrorMessage="1" sqref="G27">
      <formula1>$AN$8:$AN$12</formula1>
    </dataValidation>
    <dataValidation type="list" allowBlank="1" showInputMessage="1" showErrorMessage="1" sqref="F29">
      <formula1>$AO$7:$AO$8</formula1>
    </dataValidation>
    <dataValidation type="list" allowBlank="1" showInputMessage="1" showErrorMessage="1" sqref="AA29">
      <formula1>$AJ$13:$AJ$14</formula1>
    </dataValidation>
    <dataValidation type="list" allowBlank="1" showInputMessage="1" showErrorMessage="1" sqref="I69">
      <formula1>$AL$12:$AL$15</formula1>
    </dataValidation>
    <dataValidation type="list" allowBlank="1" showInputMessage="1" showErrorMessage="1" sqref="E23">
      <formula1>$AO$10:$AO$15</formula1>
    </dataValidation>
    <dataValidation type="list" allowBlank="1" showInputMessage="1" showErrorMessage="1" sqref="G67">
      <formula1>$AM$10:$AM$15</formula1>
    </dataValidation>
    <dataValidation type="list" allowBlank="1" showInputMessage="1" showErrorMessage="1" sqref="AC27">
      <formula1>$AI$3:$AI$9</formula1>
    </dataValidation>
  </dataValidations>
  <printOptions horizontalCentered="1"/>
  <pageMargins left="0.7" right="0.7" top="0.75" bottom="0.75" header="0.3" footer="0.3"/>
  <pageSetup paperSize="9" scale="39" fitToWidth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5"/>
  <dimension ref="A1:AA1342"/>
  <sheetViews>
    <sheetView showGridLines="0" showZeros="0" workbookViewId="0">
      <selection activeCell="G13" sqref="G13:I13"/>
    </sheetView>
  </sheetViews>
  <sheetFormatPr defaultColWidth="9.140625" defaultRowHeight="15"/>
  <cols>
    <col min="1" max="1" width="2" style="26" customWidth="1"/>
    <col min="2" max="2" width="7.140625" style="26" bestFit="1" customWidth="1"/>
    <col min="3" max="3" width="11.7109375" style="100" customWidth="1"/>
    <col min="4" max="4" width="3.140625" style="26" customWidth="1"/>
    <col min="5" max="6" width="5.85546875" style="26" customWidth="1"/>
    <col min="7" max="7" width="16.5703125" style="26" customWidth="1"/>
    <col min="8" max="8" width="8.85546875" style="26" customWidth="1"/>
    <col min="9" max="9" width="10.42578125" style="26" customWidth="1"/>
    <col min="10" max="10" width="6" style="26" customWidth="1"/>
    <col min="11" max="11" width="9.85546875" style="26" customWidth="1"/>
    <col min="12" max="12" width="16" style="26" customWidth="1"/>
    <col min="13" max="13" width="21.28515625" style="26" customWidth="1"/>
    <col min="14" max="14" width="1.5703125" style="26" customWidth="1"/>
    <col min="15" max="15" width="9.140625" style="26"/>
    <col min="16" max="16" width="34.7109375" style="100" hidden="1" customWidth="1"/>
    <col min="17" max="16384" width="9.140625" style="26"/>
  </cols>
  <sheetData>
    <row r="1" spans="1:27" ht="6" customHeight="1" thickBot="1"/>
    <row r="2" spans="1:27" ht="34.5" customHeight="1">
      <c r="A2" s="57"/>
      <c r="B2" s="452"/>
      <c r="C2" s="453"/>
      <c r="D2" s="454" t="s">
        <v>228</v>
      </c>
      <c r="E2" s="454"/>
      <c r="F2" s="453"/>
      <c r="G2" s="453"/>
      <c r="H2" s="453"/>
      <c r="I2" s="453"/>
      <c r="J2" s="453"/>
      <c r="K2" s="453"/>
      <c r="L2" s="453"/>
      <c r="M2" s="455"/>
      <c r="N2" s="57"/>
      <c r="O2" s="57"/>
      <c r="P2" s="60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</row>
    <row r="3" spans="1:27" ht="16.5">
      <c r="A3" s="57"/>
      <c r="B3" s="442" t="s">
        <v>229</v>
      </c>
      <c r="C3" s="443"/>
      <c r="D3" s="443"/>
      <c r="E3" s="443"/>
      <c r="F3" s="444"/>
      <c r="G3" s="445"/>
      <c r="H3" s="447"/>
      <c r="I3" s="456" t="s">
        <v>230</v>
      </c>
      <c r="J3" s="444"/>
      <c r="K3" s="445"/>
      <c r="L3" s="446"/>
      <c r="M3" s="457"/>
      <c r="N3" s="57"/>
      <c r="O3" s="57"/>
      <c r="P3" s="60" t="s">
        <v>153</v>
      </c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</row>
    <row r="4" spans="1:27" ht="16.5">
      <c r="A4" s="57"/>
      <c r="B4" s="442" t="s">
        <v>231</v>
      </c>
      <c r="C4" s="443"/>
      <c r="D4" s="444"/>
      <c r="E4" s="445"/>
      <c r="F4" s="446"/>
      <c r="G4" s="446"/>
      <c r="H4" s="446"/>
      <c r="I4" s="446"/>
      <c r="J4" s="446"/>
      <c r="K4" s="447"/>
      <c r="L4" s="109" t="s">
        <v>232</v>
      </c>
      <c r="M4" s="148"/>
      <c r="N4" s="57"/>
      <c r="O4" s="57"/>
      <c r="P4" s="60" t="s">
        <v>154</v>
      </c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</row>
    <row r="5" spans="1:27">
      <c r="A5" s="57"/>
      <c r="B5" s="58"/>
      <c r="C5" s="147" t="s">
        <v>146</v>
      </c>
      <c r="D5" s="448" t="s">
        <v>233</v>
      </c>
      <c r="E5" s="449"/>
      <c r="F5" s="450"/>
      <c r="G5" s="448" t="s">
        <v>234</v>
      </c>
      <c r="H5" s="449"/>
      <c r="I5" s="450"/>
      <c r="J5" s="448" t="s">
        <v>147</v>
      </c>
      <c r="K5" s="449"/>
      <c r="L5" s="449"/>
      <c r="M5" s="451"/>
      <c r="N5" s="60"/>
      <c r="O5" s="60"/>
      <c r="P5" s="60" t="s">
        <v>235</v>
      </c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</row>
    <row r="6" spans="1:27" ht="15" customHeight="1">
      <c r="A6" s="57"/>
      <c r="B6" s="61">
        <v>1</v>
      </c>
      <c r="C6" s="146"/>
      <c r="D6" s="435"/>
      <c r="E6" s="436"/>
      <c r="F6" s="437"/>
      <c r="G6" s="438"/>
      <c r="H6" s="439"/>
      <c r="I6" s="440"/>
      <c r="J6" s="435"/>
      <c r="K6" s="436"/>
      <c r="L6" s="436"/>
      <c r="M6" s="441"/>
      <c r="N6" s="57"/>
      <c r="O6" s="57"/>
      <c r="P6" s="60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</row>
    <row r="7" spans="1:27" ht="16.5">
      <c r="A7" s="57"/>
      <c r="B7" s="61">
        <v>2</v>
      </c>
      <c r="C7" s="146"/>
      <c r="D7" s="435"/>
      <c r="E7" s="436"/>
      <c r="F7" s="437"/>
      <c r="G7" s="438"/>
      <c r="H7" s="439"/>
      <c r="I7" s="440"/>
      <c r="J7" s="435"/>
      <c r="K7" s="436"/>
      <c r="L7" s="436"/>
      <c r="M7" s="441"/>
      <c r="N7" s="57"/>
      <c r="O7" s="57"/>
      <c r="P7" s="67" t="s">
        <v>172</v>
      </c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</row>
    <row r="8" spans="1:27" ht="16.5">
      <c r="A8" s="57"/>
      <c r="B8" s="61">
        <v>3</v>
      </c>
      <c r="C8" s="146"/>
      <c r="D8" s="435"/>
      <c r="E8" s="436"/>
      <c r="F8" s="437"/>
      <c r="G8" s="438"/>
      <c r="H8" s="439"/>
      <c r="I8" s="440"/>
      <c r="J8" s="435"/>
      <c r="K8" s="436"/>
      <c r="L8" s="436"/>
      <c r="M8" s="441"/>
      <c r="N8" s="57"/>
      <c r="O8" s="57"/>
      <c r="P8" s="67" t="s">
        <v>176</v>
      </c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 spans="1:27" ht="16.5">
      <c r="A9" s="57"/>
      <c r="B9" s="61">
        <v>4</v>
      </c>
      <c r="C9" s="146"/>
      <c r="D9" s="435"/>
      <c r="E9" s="436"/>
      <c r="F9" s="437"/>
      <c r="G9" s="438"/>
      <c r="H9" s="439"/>
      <c r="I9" s="440"/>
      <c r="J9" s="435"/>
      <c r="K9" s="436"/>
      <c r="L9" s="436"/>
      <c r="M9" s="441"/>
      <c r="N9" s="57"/>
      <c r="O9" s="57"/>
      <c r="P9" s="67" t="s">
        <v>180</v>
      </c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 spans="1:27" ht="16.5">
      <c r="A10" s="57"/>
      <c r="B10" s="61">
        <v>5</v>
      </c>
      <c r="C10" s="146"/>
      <c r="D10" s="435"/>
      <c r="E10" s="436"/>
      <c r="F10" s="437"/>
      <c r="G10" s="438"/>
      <c r="H10" s="439"/>
      <c r="I10" s="440"/>
      <c r="J10" s="435"/>
      <c r="K10" s="436"/>
      <c r="L10" s="436"/>
      <c r="M10" s="441"/>
      <c r="N10" s="57"/>
      <c r="O10" s="57"/>
      <c r="P10" s="67" t="s">
        <v>184</v>
      </c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 spans="1:27" ht="16.5">
      <c r="A11" s="57"/>
      <c r="B11" s="61">
        <v>6</v>
      </c>
      <c r="C11" s="146"/>
      <c r="D11" s="435"/>
      <c r="E11" s="436"/>
      <c r="F11" s="437"/>
      <c r="G11" s="438"/>
      <c r="H11" s="439"/>
      <c r="I11" s="440"/>
      <c r="J11" s="435"/>
      <c r="K11" s="436"/>
      <c r="L11" s="436"/>
      <c r="M11" s="441"/>
      <c r="N11" s="57"/>
      <c r="O11" s="57"/>
      <c r="P11" s="67" t="s">
        <v>187</v>
      </c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spans="1:27" ht="16.5">
      <c r="A12" s="57"/>
      <c r="B12" s="61">
        <v>7</v>
      </c>
      <c r="C12" s="146"/>
      <c r="D12" s="435"/>
      <c r="E12" s="436"/>
      <c r="F12" s="437"/>
      <c r="G12" s="438"/>
      <c r="H12" s="439"/>
      <c r="I12" s="440"/>
      <c r="J12" s="435"/>
      <c r="K12" s="436"/>
      <c r="L12" s="436"/>
      <c r="M12" s="441"/>
      <c r="N12" s="57"/>
      <c r="O12" s="57"/>
      <c r="P12" s="67" t="s">
        <v>189</v>
      </c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 spans="1:27" ht="16.5">
      <c r="A13" s="57"/>
      <c r="B13" s="61">
        <v>8</v>
      </c>
      <c r="C13" s="146"/>
      <c r="D13" s="435"/>
      <c r="E13" s="436"/>
      <c r="F13" s="437"/>
      <c r="G13" s="438"/>
      <c r="H13" s="439"/>
      <c r="I13" s="440"/>
      <c r="J13" s="435"/>
      <c r="K13" s="436"/>
      <c r="L13" s="436"/>
      <c r="M13" s="441"/>
      <c r="N13" s="57"/>
      <c r="O13" s="57"/>
      <c r="P13" s="67" t="s">
        <v>190</v>
      </c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 spans="1:27" ht="16.5">
      <c r="A14" s="57"/>
      <c r="B14" s="61">
        <v>9</v>
      </c>
      <c r="C14" s="146"/>
      <c r="D14" s="435"/>
      <c r="E14" s="436"/>
      <c r="F14" s="437"/>
      <c r="G14" s="438"/>
      <c r="H14" s="439"/>
      <c r="I14" s="440"/>
      <c r="J14" s="435"/>
      <c r="K14" s="436"/>
      <c r="L14" s="436"/>
      <c r="M14" s="441"/>
      <c r="N14" s="57"/>
      <c r="O14" s="57"/>
      <c r="P14" s="67" t="s">
        <v>191</v>
      </c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 spans="1:27" ht="16.5">
      <c r="A15" s="57"/>
      <c r="B15" s="61">
        <v>10</v>
      </c>
      <c r="C15" s="146"/>
      <c r="D15" s="435"/>
      <c r="E15" s="436"/>
      <c r="F15" s="437"/>
      <c r="G15" s="438"/>
      <c r="H15" s="439"/>
      <c r="I15" s="440"/>
      <c r="J15" s="435"/>
      <c r="K15" s="436"/>
      <c r="L15" s="436"/>
      <c r="M15" s="441"/>
      <c r="N15" s="57"/>
      <c r="O15" s="57"/>
      <c r="P15" s="60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 spans="1:27" ht="16.5">
      <c r="A16" s="57"/>
      <c r="B16" s="61">
        <v>11</v>
      </c>
      <c r="C16" s="146"/>
      <c r="D16" s="435"/>
      <c r="E16" s="436"/>
      <c r="F16" s="437"/>
      <c r="G16" s="438"/>
      <c r="H16" s="439"/>
      <c r="I16" s="440"/>
      <c r="J16" s="435"/>
      <c r="K16" s="436"/>
      <c r="L16" s="436"/>
      <c r="M16" s="441"/>
      <c r="N16" s="57"/>
      <c r="O16" s="57"/>
      <c r="P16" s="60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</row>
    <row r="17" spans="1:27" ht="16.5">
      <c r="A17" s="57"/>
      <c r="B17" s="61">
        <v>12</v>
      </c>
      <c r="C17" s="146"/>
      <c r="D17" s="435"/>
      <c r="E17" s="436"/>
      <c r="F17" s="437"/>
      <c r="G17" s="438"/>
      <c r="H17" s="439"/>
      <c r="I17" s="440"/>
      <c r="J17" s="435"/>
      <c r="K17" s="436"/>
      <c r="L17" s="436"/>
      <c r="M17" s="441"/>
      <c r="N17" s="57"/>
      <c r="O17" s="57"/>
      <c r="P17" s="60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</row>
    <row r="18" spans="1:27" ht="16.5">
      <c r="A18" s="57"/>
      <c r="B18" s="61">
        <v>13</v>
      </c>
      <c r="C18" s="146"/>
      <c r="D18" s="435"/>
      <c r="E18" s="436"/>
      <c r="F18" s="437"/>
      <c r="G18" s="438"/>
      <c r="H18" s="439"/>
      <c r="I18" s="440"/>
      <c r="J18" s="435"/>
      <c r="K18" s="436"/>
      <c r="L18" s="436"/>
      <c r="M18" s="441"/>
      <c r="N18" s="57"/>
      <c r="O18" s="57"/>
      <c r="P18" s="60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</row>
    <row r="19" spans="1:27" ht="16.5">
      <c r="A19" s="57"/>
      <c r="B19" s="61">
        <v>14</v>
      </c>
      <c r="C19" s="146"/>
      <c r="D19" s="435"/>
      <c r="E19" s="436"/>
      <c r="F19" s="437"/>
      <c r="G19" s="438"/>
      <c r="H19" s="439"/>
      <c r="I19" s="440"/>
      <c r="J19" s="435"/>
      <c r="K19" s="436"/>
      <c r="L19" s="436"/>
      <c r="M19" s="441"/>
      <c r="N19" s="57"/>
      <c r="O19" s="57"/>
      <c r="P19" s="60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</row>
    <row r="20" spans="1:27" ht="16.5">
      <c r="A20" s="57"/>
      <c r="B20" s="61">
        <v>15</v>
      </c>
      <c r="C20" s="146"/>
      <c r="D20" s="435"/>
      <c r="E20" s="436"/>
      <c r="F20" s="437"/>
      <c r="G20" s="438"/>
      <c r="H20" s="439"/>
      <c r="I20" s="440"/>
      <c r="J20" s="435"/>
      <c r="K20" s="436"/>
      <c r="L20" s="436"/>
      <c r="M20" s="441"/>
      <c r="N20" s="57"/>
      <c r="O20" s="57"/>
      <c r="P20" s="60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</row>
    <row r="21" spans="1:27" ht="16.5">
      <c r="A21" s="57"/>
      <c r="B21" s="61">
        <v>16</v>
      </c>
      <c r="C21" s="146"/>
      <c r="D21" s="435"/>
      <c r="E21" s="436"/>
      <c r="F21" s="437"/>
      <c r="G21" s="438"/>
      <c r="H21" s="439"/>
      <c r="I21" s="440"/>
      <c r="J21" s="435"/>
      <c r="K21" s="436"/>
      <c r="L21" s="436"/>
      <c r="M21" s="441"/>
      <c r="N21" s="57"/>
      <c r="O21" s="57"/>
      <c r="P21" s="60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</row>
    <row r="22" spans="1:27" ht="16.5">
      <c r="A22" s="57"/>
      <c r="B22" s="61">
        <v>17</v>
      </c>
      <c r="C22" s="146"/>
      <c r="D22" s="435"/>
      <c r="E22" s="436"/>
      <c r="F22" s="437"/>
      <c r="G22" s="438"/>
      <c r="H22" s="439"/>
      <c r="I22" s="440"/>
      <c r="J22" s="435"/>
      <c r="K22" s="436"/>
      <c r="L22" s="436"/>
      <c r="M22" s="441"/>
      <c r="N22" s="57"/>
      <c r="O22" s="57"/>
      <c r="P22" s="60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</row>
    <row r="23" spans="1:27" ht="16.5">
      <c r="A23" s="57"/>
      <c r="B23" s="61">
        <v>18</v>
      </c>
      <c r="C23" s="146"/>
      <c r="D23" s="435"/>
      <c r="E23" s="436"/>
      <c r="F23" s="437"/>
      <c r="G23" s="438"/>
      <c r="H23" s="439"/>
      <c r="I23" s="440"/>
      <c r="J23" s="435"/>
      <c r="K23" s="436"/>
      <c r="L23" s="436"/>
      <c r="M23" s="441"/>
      <c r="N23" s="57"/>
      <c r="O23" s="57"/>
      <c r="P23" s="60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</row>
    <row r="24" spans="1:27" ht="16.5">
      <c r="A24" s="57"/>
      <c r="B24" s="61">
        <v>19</v>
      </c>
      <c r="C24" s="146"/>
      <c r="D24" s="435"/>
      <c r="E24" s="436"/>
      <c r="F24" s="437"/>
      <c r="G24" s="438"/>
      <c r="H24" s="439"/>
      <c r="I24" s="440"/>
      <c r="J24" s="435"/>
      <c r="K24" s="436"/>
      <c r="L24" s="436"/>
      <c r="M24" s="441"/>
      <c r="N24" s="57"/>
      <c r="O24" s="57"/>
      <c r="P24" s="60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</row>
    <row r="25" spans="1:27" ht="16.5">
      <c r="A25" s="57"/>
      <c r="B25" s="61">
        <v>20</v>
      </c>
      <c r="C25" s="146"/>
      <c r="D25" s="435"/>
      <c r="E25" s="436"/>
      <c r="F25" s="437"/>
      <c r="G25" s="438"/>
      <c r="H25" s="439"/>
      <c r="I25" s="440"/>
      <c r="J25" s="435"/>
      <c r="K25" s="436"/>
      <c r="L25" s="436"/>
      <c r="M25" s="441"/>
      <c r="N25" s="57"/>
      <c r="O25" s="57"/>
      <c r="P25" s="60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</row>
    <row r="26" spans="1:27" ht="16.5">
      <c r="A26" s="57"/>
      <c r="B26" s="61">
        <v>21</v>
      </c>
      <c r="C26" s="146"/>
      <c r="D26" s="435"/>
      <c r="E26" s="436"/>
      <c r="F26" s="437"/>
      <c r="G26" s="438"/>
      <c r="H26" s="439"/>
      <c r="I26" s="440"/>
      <c r="J26" s="435"/>
      <c r="K26" s="436"/>
      <c r="L26" s="436"/>
      <c r="M26" s="441"/>
      <c r="N26" s="57"/>
      <c r="O26" s="57"/>
      <c r="P26" s="60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</row>
    <row r="27" spans="1:27" ht="16.5">
      <c r="A27" s="57"/>
      <c r="B27" s="61">
        <v>22</v>
      </c>
      <c r="C27" s="146"/>
      <c r="D27" s="435"/>
      <c r="E27" s="436"/>
      <c r="F27" s="437"/>
      <c r="G27" s="438"/>
      <c r="H27" s="439"/>
      <c r="I27" s="440"/>
      <c r="J27" s="435"/>
      <c r="K27" s="436"/>
      <c r="L27" s="436"/>
      <c r="M27" s="441"/>
      <c r="N27" s="57"/>
      <c r="O27" s="57"/>
      <c r="P27" s="60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</row>
    <row r="28" spans="1:27" ht="16.5">
      <c r="A28" s="57"/>
      <c r="B28" s="61">
        <v>23</v>
      </c>
      <c r="C28" s="146"/>
      <c r="D28" s="435"/>
      <c r="E28" s="436"/>
      <c r="F28" s="437"/>
      <c r="G28" s="438"/>
      <c r="H28" s="439"/>
      <c r="I28" s="440"/>
      <c r="J28" s="435"/>
      <c r="K28" s="436"/>
      <c r="L28" s="436"/>
      <c r="M28" s="441"/>
      <c r="N28" s="57"/>
      <c r="O28" s="57"/>
      <c r="P28" s="60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</row>
    <row r="29" spans="1:27" ht="16.5">
      <c r="A29" s="57"/>
      <c r="B29" s="61">
        <v>24</v>
      </c>
      <c r="C29" s="146"/>
      <c r="D29" s="435"/>
      <c r="E29" s="436"/>
      <c r="F29" s="437"/>
      <c r="G29" s="438"/>
      <c r="H29" s="439"/>
      <c r="I29" s="440"/>
      <c r="J29" s="435"/>
      <c r="K29" s="436"/>
      <c r="L29" s="436"/>
      <c r="M29" s="441"/>
      <c r="N29" s="57"/>
      <c r="O29" s="57"/>
      <c r="P29" s="60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</row>
    <row r="30" spans="1:27" ht="16.5">
      <c r="A30" s="57"/>
      <c r="B30" s="61">
        <v>25</v>
      </c>
      <c r="C30" s="146"/>
      <c r="D30" s="435"/>
      <c r="E30" s="436"/>
      <c r="F30" s="437"/>
      <c r="G30" s="438"/>
      <c r="H30" s="439"/>
      <c r="I30" s="440"/>
      <c r="J30" s="435"/>
      <c r="K30" s="436"/>
      <c r="L30" s="436"/>
      <c r="M30" s="441"/>
      <c r="N30" s="57"/>
      <c r="O30" s="57"/>
      <c r="P30" s="60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</row>
    <row r="31" spans="1:27" ht="16.5">
      <c r="A31" s="57"/>
      <c r="B31" s="61">
        <v>26</v>
      </c>
      <c r="C31" s="146"/>
      <c r="D31" s="435"/>
      <c r="E31" s="436"/>
      <c r="F31" s="437"/>
      <c r="G31" s="438"/>
      <c r="H31" s="439"/>
      <c r="I31" s="440"/>
      <c r="J31" s="435"/>
      <c r="K31" s="436"/>
      <c r="L31" s="436"/>
      <c r="M31" s="441"/>
      <c r="N31" s="57"/>
      <c r="O31" s="57"/>
      <c r="P31" s="60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</row>
    <row r="32" spans="1:27" ht="16.5">
      <c r="A32" s="57"/>
      <c r="B32" s="61">
        <v>27</v>
      </c>
      <c r="C32" s="146"/>
      <c r="D32" s="435"/>
      <c r="E32" s="436"/>
      <c r="F32" s="437"/>
      <c r="G32" s="438"/>
      <c r="H32" s="439"/>
      <c r="I32" s="440"/>
      <c r="J32" s="435"/>
      <c r="K32" s="436"/>
      <c r="L32" s="436"/>
      <c r="M32" s="441"/>
      <c r="N32" s="57"/>
      <c r="O32" s="57"/>
      <c r="P32" s="60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</row>
    <row r="33" spans="1:27" ht="16.5">
      <c r="A33" s="57"/>
      <c r="B33" s="61">
        <v>28</v>
      </c>
      <c r="C33" s="146"/>
      <c r="D33" s="435"/>
      <c r="E33" s="436"/>
      <c r="F33" s="437"/>
      <c r="G33" s="438"/>
      <c r="H33" s="439"/>
      <c r="I33" s="440"/>
      <c r="J33" s="435"/>
      <c r="K33" s="436"/>
      <c r="L33" s="436"/>
      <c r="M33" s="441"/>
      <c r="N33" s="57"/>
      <c r="O33" s="57"/>
      <c r="P33" s="60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</row>
    <row r="34" spans="1:27" ht="16.5">
      <c r="A34" s="57"/>
      <c r="B34" s="61">
        <v>29</v>
      </c>
      <c r="C34" s="146"/>
      <c r="D34" s="435"/>
      <c r="E34" s="436"/>
      <c r="F34" s="437"/>
      <c r="G34" s="438"/>
      <c r="H34" s="439"/>
      <c r="I34" s="440"/>
      <c r="J34" s="435"/>
      <c r="K34" s="436"/>
      <c r="L34" s="436"/>
      <c r="M34" s="441"/>
      <c r="N34" s="57"/>
      <c r="O34" s="57"/>
      <c r="P34" s="60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</row>
    <row r="35" spans="1:27" ht="16.5">
      <c r="A35" s="57"/>
      <c r="B35" s="61">
        <v>30</v>
      </c>
      <c r="C35" s="146"/>
      <c r="D35" s="435"/>
      <c r="E35" s="436"/>
      <c r="F35" s="437"/>
      <c r="G35" s="438"/>
      <c r="H35" s="439"/>
      <c r="I35" s="440"/>
      <c r="J35" s="435"/>
      <c r="K35" s="436"/>
      <c r="L35" s="436"/>
      <c r="M35" s="441"/>
      <c r="N35" s="57"/>
      <c r="O35" s="57"/>
      <c r="P35" s="60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</row>
    <row r="36" spans="1:27" ht="16.5">
      <c r="A36" s="57"/>
      <c r="B36" s="61">
        <v>31</v>
      </c>
      <c r="C36" s="146"/>
      <c r="D36" s="435"/>
      <c r="E36" s="436"/>
      <c r="F36" s="437"/>
      <c r="G36" s="438"/>
      <c r="H36" s="439"/>
      <c r="I36" s="440"/>
      <c r="J36" s="435"/>
      <c r="K36" s="436"/>
      <c r="L36" s="436"/>
      <c r="M36" s="441"/>
      <c r="N36" s="57"/>
      <c r="O36" s="57"/>
      <c r="P36" s="60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</row>
    <row r="37" spans="1:27" ht="16.5">
      <c r="A37" s="57"/>
      <c r="B37" s="61">
        <v>32</v>
      </c>
      <c r="C37" s="146"/>
      <c r="D37" s="435"/>
      <c r="E37" s="436"/>
      <c r="F37" s="437"/>
      <c r="G37" s="438"/>
      <c r="H37" s="439"/>
      <c r="I37" s="440"/>
      <c r="J37" s="435"/>
      <c r="K37" s="436"/>
      <c r="L37" s="436"/>
      <c r="M37" s="441"/>
      <c r="N37" s="57"/>
      <c r="O37" s="57"/>
      <c r="P37" s="60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</row>
    <row r="38" spans="1:27" ht="16.5">
      <c r="A38" s="57"/>
      <c r="B38" s="61">
        <v>33</v>
      </c>
      <c r="C38" s="146"/>
      <c r="D38" s="435"/>
      <c r="E38" s="436"/>
      <c r="F38" s="437"/>
      <c r="G38" s="438"/>
      <c r="H38" s="439"/>
      <c r="I38" s="440"/>
      <c r="J38" s="435"/>
      <c r="K38" s="436"/>
      <c r="L38" s="436"/>
      <c r="M38" s="441"/>
      <c r="N38" s="57"/>
      <c r="O38" s="57"/>
      <c r="P38" s="60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</row>
    <row r="39" spans="1:27" ht="16.5">
      <c r="A39" s="57"/>
      <c r="B39" s="61">
        <v>34</v>
      </c>
      <c r="C39" s="146"/>
      <c r="D39" s="435"/>
      <c r="E39" s="436"/>
      <c r="F39" s="437"/>
      <c r="G39" s="438"/>
      <c r="H39" s="439"/>
      <c r="I39" s="440"/>
      <c r="J39" s="435"/>
      <c r="K39" s="436"/>
      <c r="L39" s="436"/>
      <c r="M39" s="441"/>
      <c r="N39" s="57"/>
      <c r="O39" s="57"/>
      <c r="P39" s="60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</row>
    <row r="40" spans="1:27" ht="16.5">
      <c r="A40" s="57"/>
      <c r="B40" s="61">
        <v>35</v>
      </c>
      <c r="C40" s="146"/>
      <c r="D40" s="435"/>
      <c r="E40" s="436"/>
      <c r="F40" s="437"/>
      <c r="G40" s="438"/>
      <c r="H40" s="439"/>
      <c r="I40" s="440"/>
      <c r="J40" s="435"/>
      <c r="K40" s="436"/>
      <c r="L40" s="436"/>
      <c r="M40" s="441"/>
      <c r="N40" s="57"/>
      <c r="O40" s="57"/>
      <c r="P40" s="60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</row>
    <row r="41" spans="1:27" ht="16.5">
      <c r="A41" s="57"/>
      <c r="B41" s="61">
        <v>36</v>
      </c>
      <c r="C41" s="146"/>
      <c r="D41" s="435"/>
      <c r="E41" s="436"/>
      <c r="F41" s="437"/>
      <c r="G41" s="438"/>
      <c r="H41" s="439"/>
      <c r="I41" s="440"/>
      <c r="J41" s="435"/>
      <c r="K41" s="436"/>
      <c r="L41" s="436"/>
      <c r="M41" s="441"/>
      <c r="N41" s="57"/>
      <c r="O41" s="57"/>
      <c r="P41" s="60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</row>
    <row r="42" spans="1:27" ht="16.5">
      <c r="A42" s="57"/>
      <c r="B42" s="61">
        <v>37</v>
      </c>
      <c r="C42" s="146"/>
      <c r="D42" s="435"/>
      <c r="E42" s="436"/>
      <c r="F42" s="437"/>
      <c r="G42" s="438"/>
      <c r="H42" s="439"/>
      <c r="I42" s="440"/>
      <c r="J42" s="435"/>
      <c r="K42" s="436"/>
      <c r="L42" s="436"/>
      <c r="M42" s="441"/>
      <c r="N42" s="57"/>
      <c r="O42" s="57"/>
      <c r="P42" s="60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</row>
    <row r="43" spans="1:27" ht="16.5">
      <c r="A43" s="57"/>
      <c r="B43" s="61">
        <v>38</v>
      </c>
      <c r="C43" s="146"/>
      <c r="D43" s="435"/>
      <c r="E43" s="436"/>
      <c r="F43" s="437"/>
      <c r="G43" s="438"/>
      <c r="H43" s="439"/>
      <c r="I43" s="440"/>
      <c r="J43" s="435"/>
      <c r="K43" s="436"/>
      <c r="L43" s="436"/>
      <c r="M43" s="441"/>
      <c r="N43" s="57"/>
      <c r="O43" s="57"/>
      <c r="P43" s="60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</row>
    <row r="44" spans="1:27" ht="16.5">
      <c r="A44" s="57"/>
      <c r="B44" s="61">
        <v>39</v>
      </c>
      <c r="C44" s="146"/>
      <c r="D44" s="435"/>
      <c r="E44" s="436"/>
      <c r="F44" s="437"/>
      <c r="G44" s="438"/>
      <c r="H44" s="439"/>
      <c r="I44" s="440"/>
      <c r="J44" s="435"/>
      <c r="K44" s="436"/>
      <c r="L44" s="436"/>
      <c r="M44" s="441"/>
      <c r="N44" s="57"/>
      <c r="O44" s="57"/>
      <c r="P44" s="60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</row>
    <row r="45" spans="1:27" ht="16.5">
      <c r="A45" s="57"/>
      <c r="B45" s="61">
        <v>40</v>
      </c>
      <c r="C45" s="146"/>
      <c r="D45" s="435"/>
      <c r="E45" s="436"/>
      <c r="F45" s="437"/>
      <c r="G45" s="438"/>
      <c r="H45" s="439"/>
      <c r="I45" s="440"/>
      <c r="J45" s="435"/>
      <c r="K45" s="436"/>
      <c r="L45" s="436"/>
      <c r="M45" s="441"/>
      <c r="N45" s="57"/>
      <c r="O45" s="57"/>
      <c r="P45" s="60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</row>
    <row r="46" spans="1:27" ht="16.5">
      <c r="A46" s="57"/>
      <c r="B46" s="61">
        <v>41</v>
      </c>
      <c r="C46" s="146"/>
      <c r="D46" s="435"/>
      <c r="E46" s="436"/>
      <c r="F46" s="437"/>
      <c r="G46" s="438"/>
      <c r="H46" s="439"/>
      <c r="I46" s="440"/>
      <c r="J46" s="435"/>
      <c r="K46" s="436"/>
      <c r="L46" s="436"/>
      <c r="M46" s="441"/>
      <c r="N46" s="57"/>
      <c r="O46" s="57"/>
      <c r="P46" s="60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</row>
    <row r="47" spans="1:27" ht="16.5">
      <c r="A47" s="57"/>
      <c r="B47" s="61">
        <v>42</v>
      </c>
      <c r="C47" s="146"/>
      <c r="D47" s="435"/>
      <c r="E47" s="436"/>
      <c r="F47" s="437"/>
      <c r="G47" s="438"/>
      <c r="H47" s="439"/>
      <c r="I47" s="440"/>
      <c r="J47" s="435"/>
      <c r="K47" s="436"/>
      <c r="L47" s="436"/>
      <c r="M47" s="441"/>
      <c r="N47" s="57"/>
      <c r="O47" s="57"/>
      <c r="P47" s="60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</row>
    <row r="48" spans="1:27" ht="16.5">
      <c r="A48" s="57"/>
      <c r="B48" s="61">
        <v>43</v>
      </c>
      <c r="C48" s="146"/>
      <c r="D48" s="435"/>
      <c r="E48" s="436"/>
      <c r="F48" s="437"/>
      <c r="G48" s="438"/>
      <c r="H48" s="439"/>
      <c r="I48" s="440"/>
      <c r="J48" s="435"/>
      <c r="K48" s="436"/>
      <c r="L48" s="436"/>
      <c r="M48" s="441"/>
      <c r="N48" s="57"/>
      <c r="O48" s="57"/>
      <c r="P48" s="60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</row>
    <row r="49" spans="1:27" ht="16.5">
      <c r="A49" s="57"/>
      <c r="B49" s="61">
        <v>44</v>
      </c>
      <c r="C49" s="146"/>
      <c r="D49" s="435"/>
      <c r="E49" s="436"/>
      <c r="F49" s="437"/>
      <c r="G49" s="438"/>
      <c r="H49" s="439"/>
      <c r="I49" s="440"/>
      <c r="J49" s="435"/>
      <c r="K49" s="436"/>
      <c r="L49" s="436"/>
      <c r="M49" s="441"/>
      <c r="N49" s="57"/>
      <c r="O49" s="57"/>
      <c r="P49" s="60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</row>
    <row r="50" spans="1:27" ht="16.5">
      <c r="A50" s="57"/>
      <c r="B50" s="61">
        <v>45</v>
      </c>
      <c r="C50" s="146"/>
      <c r="D50" s="435"/>
      <c r="E50" s="436"/>
      <c r="F50" s="437"/>
      <c r="G50" s="438"/>
      <c r="H50" s="439"/>
      <c r="I50" s="440"/>
      <c r="J50" s="435"/>
      <c r="K50" s="436"/>
      <c r="L50" s="436"/>
      <c r="M50" s="441"/>
      <c r="N50" s="57"/>
      <c r="O50" s="57"/>
      <c r="P50" s="60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</row>
    <row r="51" spans="1:27" ht="16.5">
      <c r="A51" s="57"/>
      <c r="B51" s="61">
        <v>46</v>
      </c>
      <c r="C51" s="146"/>
      <c r="D51" s="435"/>
      <c r="E51" s="436"/>
      <c r="F51" s="437"/>
      <c r="G51" s="438"/>
      <c r="H51" s="439"/>
      <c r="I51" s="440"/>
      <c r="J51" s="435"/>
      <c r="K51" s="436"/>
      <c r="L51" s="436"/>
      <c r="M51" s="441"/>
      <c r="N51" s="57"/>
      <c r="O51" s="57"/>
      <c r="P51" s="60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</row>
    <row r="52" spans="1:27" ht="16.5">
      <c r="A52" s="57"/>
      <c r="B52" s="61">
        <v>47</v>
      </c>
      <c r="C52" s="146"/>
      <c r="D52" s="435"/>
      <c r="E52" s="436"/>
      <c r="F52" s="437"/>
      <c r="G52" s="438"/>
      <c r="H52" s="439"/>
      <c r="I52" s="440"/>
      <c r="J52" s="435"/>
      <c r="K52" s="436"/>
      <c r="L52" s="436"/>
      <c r="M52" s="441"/>
      <c r="N52" s="57"/>
      <c r="O52" s="57"/>
      <c r="P52" s="60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</row>
    <row r="53" spans="1:27" ht="16.5">
      <c r="A53" s="57"/>
      <c r="B53" s="61">
        <v>48</v>
      </c>
      <c r="C53" s="146"/>
      <c r="D53" s="435"/>
      <c r="E53" s="436"/>
      <c r="F53" s="437"/>
      <c r="G53" s="438"/>
      <c r="H53" s="439"/>
      <c r="I53" s="440"/>
      <c r="J53" s="435"/>
      <c r="K53" s="436"/>
      <c r="L53" s="436"/>
      <c r="M53" s="441"/>
      <c r="N53" s="57"/>
      <c r="O53" s="57"/>
      <c r="P53" s="60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</row>
    <row r="54" spans="1:27" ht="16.5">
      <c r="A54" s="57"/>
      <c r="B54" s="61">
        <v>49</v>
      </c>
      <c r="C54" s="146"/>
      <c r="D54" s="435"/>
      <c r="E54" s="436"/>
      <c r="F54" s="437"/>
      <c r="G54" s="438"/>
      <c r="H54" s="439"/>
      <c r="I54" s="440"/>
      <c r="J54" s="435"/>
      <c r="K54" s="436"/>
      <c r="L54" s="436"/>
      <c r="M54" s="441"/>
      <c r="N54" s="57"/>
      <c r="O54" s="57"/>
      <c r="P54" s="60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</row>
    <row r="55" spans="1:27" ht="16.5">
      <c r="A55" s="57"/>
      <c r="B55" s="61">
        <v>50</v>
      </c>
      <c r="C55" s="146"/>
      <c r="D55" s="435"/>
      <c r="E55" s="436"/>
      <c r="F55" s="437"/>
      <c r="G55" s="438"/>
      <c r="H55" s="439"/>
      <c r="I55" s="440"/>
      <c r="J55" s="435"/>
      <c r="K55" s="436"/>
      <c r="L55" s="436"/>
      <c r="M55" s="441"/>
      <c r="N55" s="57"/>
      <c r="O55" s="57"/>
      <c r="P55" s="60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1:27" ht="16.5">
      <c r="A56" s="57"/>
      <c r="B56" s="61">
        <v>51</v>
      </c>
      <c r="C56" s="146"/>
      <c r="D56" s="435"/>
      <c r="E56" s="436"/>
      <c r="F56" s="437"/>
      <c r="G56" s="438"/>
      <c r="H56" s="439"/>
      <c r="I56" s="440"/>
      <c r="J56" s="435"/>
      <c r="K56" s="436"/>
      <c r="L56" s="436"/>
      <c r="M56" s="441"/>
      <c r="N56" s="57"/>
      <c r="O56" s="57"/>
      <c r="P56" s="60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</row>
    <row r="57" spans="1:27" ht="16.5">
      <c r="A57" s="57"/>
      <c r="B57" s="61">
        <v>52</v>
      </c>
      <c r="C57" s="146"/>
      <c r="D57" s="435"/>
      <c r="E57" s="436"/>
      <c r="F57" s="437"/>
      <c r="G57" s="438"/>
      <c r="H57" s="439"/>
      <c r="I57" s="440"/>
      <c r="J57" s="435"/>
      <c r="K57" s="436"/>
      <c r="L57" s="436"/>
      <c r="M57" s="441"/>
      <c r="N57" s="57"/>
      <c r="O57" s="57"/>
      <c r="P57" s="60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</row>
    <row r="58" spans="1:27" ht="16.5">
      <c r="A58" s="57"/>
      <c r="B58" s="61">
        <v>53</v>
      </c>
      <c r="C58" s="146"/>
      <c r="D58" s="435"/>
      <c r="E58" s="436"/>
      <c r="F58" s="437"/>
      <c r="G58" s="438"/>
      <c r="H58" s="439"/>
      <c r="I58" s="440"/>
      <c r="J58" s="435"/>
      <c r="K58" s="436"/>
      <c r="L58" s="436"/>
      <c r="M58" s="441"/>
      <c r="N58" s="57"/>
      <c r="O58" s="57"/>
      <c r="P58" s="60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</row>
    <row r="59" spans="1:27" ht="16.5">
      <c r="A59" s="57"/>
      <c r="B59" s="61">
        <v>54</v>
      </c>
      <c r="C59" s="146"/>
      <c r="D59" s="435"/>
      <c r="E59" s="436"/>
      <c r="F59" s="437"/>
      <c r="G59" s="438"/>
      <c r="H59" s="439"/>
      <c r="I59" s="440"/>
      <c r="J59" s="435"/>
      <c r="K59" s="436"/>
      <c r="L59" s="436"/>
      <c r="M59" s="441"/>
      <c r="N59" s="57"/>
      <c r="O59" s="57"/>
      <c r="P59" s="60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</row>
    <row r="60" spans="1:27" ht="16.5">
      <c r="A60" s="57"/>
      <c r="B60" s="61">
        <v>55</v>
      </c>
      <c r="C60" s="146"/>
      <c r="D60" s="435"/>
      <c r="E60" s="436"/>
      <c r="F60" s="437"/>
      <c r="G60" s="438"/>
      <c r="H60" s="439"/>
      <c r="I60" s="440"/>
      <c r="J60" s="435"/>
      <c r="K60" s="436"/>
      <c r="L60" s="436"/>
      <c r="M60" s="441"/>
      <c r="N60" s="57"/>
      <c r="O60" s="57"/>
      <c r="P60" s="60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</row>
    <row r="61" spans="1:27" ht="16.5">
      <c r="A61" s="57"/>
      <c r="B61" s="61">
        <v>56</v>
      </c>
      <c r="C61" s="146"/>
      <c r="D61" s="435"/>
      <c r="E61" s="436"/>
      <c r="F61" s="437"/>
      <c r="G61" s="438"/>
      <c r="H61" s="439"/>
      <c r="I61" s="440"/>
      <c r="J61" s="435"/>
      <c r="K61" s="436"/>
      <c r="L61" s="436"/>
      <c r="M61" s="441"/>
      <c r="N61" s="57"/>
      <c r="O61" s="57"/>
      <c r="P61" s="60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</row>
    <row r="62" spans="1:27" ht="16.5">
      <c r="A62" s="57"/>
      <c r="B62" s="61">
        <v>57</v>
      </c>
      <c r="C62" s="146"/>
      <c r="D62" s="435"/>
      <c r="E62" s="436"/>
      <c r="F62" s="437"/>
      <c r="G62" s="438"/>
      <c r="H62" s="439"/>
      <c r="I62" s="440"/>
      <c r="J62" s="435"/>
      <c r="K62" s="436"/>
      <c r="L62" s="436"/>
      <c r="M62" s="441"/>
      <c r="N62" s="57"/>
      <c r="O62" s="57"/>
      <c r="P62" s="60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</row>
    <row r="63" spans="1:27" ht="16.5">
      <c r="A63" s="57"/>
      <c r="B63" s="61">
        <v>58</v>
      </c>
      <c r="C63" s="146"/>
      <c r="D63" s="435"/>
      <c r="E63" s="436"/>
      <c r="F63" s="437"/>
      <c r="G63" s="438"/>
      <c r="H63" s="439"/>
      <c r="I63" s="440"/>
      <c r="J63" s="435"/>
      <c r="K63" s="436"/>
      <c r="L63" s="436"/>
      <c r="M63" s="441"/>
      <c r="N63" s="57"/>
      <c r="O63" s="57"/>
      <c r="P63" s="60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</row>
    <row r="64" spans="1:27" ht="16.5">
      <c r="A64" s="57"/>
      <c r="B64" s="61">
        <v>59</v>
      </c>
      <c r="C64" s="146"/>
      <c r="D64" s="435"/>
      <c r="E64" s="436"/>
      <c r="F64" s="437"/>
      <c r="G64" s="438"/>
      <c r="H64" s="439"/>
      <c r="I64" s="440"/>
      <c r="J64" s="435"/>
      <c r="K64" s="436"/>
      <c r="L64" s="436"/>
      <c r="M64" s="441"/>
      <c r="N64" s="57"/>
      <c r="O64" s="57"/>
      <c r="P64" s="60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</row>
    <row r="65" spans="1:27" ht="16.5">
      <c r="A65" s="57"/>
      <c r="B65" s="61">
        <v>60</v>
      </c>
      <c r="C65" s="146"/>
      <c r="D65" s="435"/>
      <c r="E65" s="436"/>
      <c r="F65" s="437"/>
      <c r="G65" s="438"/>
      <c r="H65" s="439"/>
      <c r="I65" s="440"/>
      <c r="J65" s="435"/>
      <c r="K65" s="436"/>
      <c r="L65" s="436"/>
      <c r="M65" s="441"/>
      <c r="N65" s="57"/>
      <c r="O65" s="57"/>
      <c r="P65" s="60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</row>
    <row r="66" spans="1:27" ht="16.5">
      <c r="A66" s="57"/>
      <c r="B66" s="61">
        <v>61</v>
      </c>
      <c r="C66" s="146"/>
      <c r="D66" s="435"/>
      <c r="E66" s="436"/>
      <c r="F66" s="437"/>
      <c r="G66" s="438"/>
      <c r="H66" s="439"/>
      <c r="I66" s="440"/>
      <c r="J66" s="435"/>
      <c r="K66" s="436"/>
      <c r="L66" s="436"/>
      <c r="M66" s="441"/>
      <c r="N66" s="57"/>
      <c r="O66" s="57"/>
      <c r="P66" s="60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</row>
    <row r="67" spans="1:27" ht="16.5">
      <c r="A67" s="57"/>
      <c r="B67" s="61">
        <v>62</v>
      </c>
      <c r="C67" s="146"/>
      <c r="D67" s="435"/>
      <c r="E67" s="436"/>
      <c r="F67" s="437"/>
      <c r="G67" s="438"/>
      <c r="H67" s="439"/>
      <c r="I67" s="440"/>
      <c r="J67" s="435"/>
      <c r="K67" s="436"/>
      <c r="L67" s="436"/>
      <c r="M67" s="441"/>
      <c r="N67" s="57"/>
      <c r="O67" s="57"/>
      <c r="P67" s="60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</row>
    <row r="68" spans="1:27" ht="16.5">
      <c r="A68" s="57"/>
      <c r="B68" s="61">
        <v>63</v>
      </c>
      <c r="C68" s="146"/>
      <c r="D68" s="435"/>
      <c r="E68" s="436"/>
      <c r="F68" s="437"/>
      <c r="G68" s="438"/>
      <c r="H68" s="439"/>
      <c r="I68" s="440"/>
      <c r="J68" s="435"/>
      <c r="K68" s="436"/>
      <c r="L68" s="436"/>
      <c r="M68" s="441"/>
      <c r="N68" s="57"/>
      <c r="O68" s="57"/>
      <c r="P68" s="60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</row>
    <row r="69" spans="1:27" ht="16.5">
      <c r="A69" s="57"/>
      <c r="B69" s="61">
        <v>64</v>
      </c>
      <c r="C69" s="146"/>
      <c r="D69" s="435"/>
      <c r="E69" s="436"/>
      <c r="F69" s="437"/>
      <c r="G69" s="438"/>
      <c r="H69" s="439"/>
      <c r="I69" s="440"/>
      <c r="J69" s="435"/>
      <c r="K69" s="436"/>
      <c r="L69" s="436"/>
      <c r="M69" s="441"/>
      <c r="N69" s="57"/>
      <c r="O69" s="57"/>
      <c r="P69" s="60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</row>
    <row r="70" spans="1:27" ht="16.5">
      <c r="A70" s="57"/>
      <c r="B70" s="61">
        <v>65</v>
      </c>
      <c r="C70" s="146"/>
      <c r="D70" s="435"/>
      <c r="E70" s="436"/>
      <c r="F70" s="437"/>
      <c r="G70" s="438"/>
      <c r="H70" s="439"/>
      <c r="I70" s="440"/>
      <c r="J70" s="435"/>
      <c r="K70" s="436"/>
      <c r="L70" s="436"/>
      <c r="M70" s="441"/>
      <c r="N70" s="57"/>
      <c r="O70" s="57"/>
      <c r="P70" s="60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</row>
    <row r="71" spans="1:27" ht="16.5">
      <c r="A71" s="57"/>
      <c r="B71" s="61">
        <v>66</v>
      </c>
      <c r="C71" s="146"/>
      <c r="D71" s="435"/>
      <c r="E71" s="436"/>
      <c r="F71" s="437"/>
      <c r="G71" s="438"/>
      <c r="H71" s="439"/>
      <c r="I71" s="440"/>
      <c r="J71" s="435"/>
      <c r="K71" s="436"/>
      <c r="L71" s="436"/>
      <c r="M71" s="441"/>
      <c r="N71" s="57"/>
      <c r="O71" s="57"/>
      <c r="P71" s="60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</row>
    <row r="72" spans="1:27" ht="16.5">
      <c r="A72" s="57"/>
      <c r="B72" s="61">
        <v>67</v>
      </c>
      <c r="C72" s="146"/>
      <c r="D72" s="435"/>
      <c r="E72" s="436"/>
      <c r="F72" s="437"/>
      <c r="G72" s="438"/>
      <c r="H72" s="439"/>
      <c r="I72" s="440"/>
      <c r="J72" s="435"/>
      <c r="K72" s="436"/>
      <c r="L72" s="436"/>
      <c r="M72" s="441"/>
      <c r="N72" s="57"/>
      <c r="O72" s="57"/>
      <c r="P72" s="60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</row>
    <row r="73" spans="1:27" ht="16.5">
      <c r="A73" s="57"/>
      <c r="B73" s="61">
        <v>68</v>
      </c>
      <c r="C73" s="146"/>
      <c r="D73" s="435"/>
      <c r="E73" s="436"/>
      <c r="F73" s="437"/>
      <c r="G73" s="438"/>
      <c r="H73" s="439"/>
      <c r="I73" s="440"/>
      <c r="J73" s="435"/>
      <c r="K73" s="436"/>
      <c r="L73" s="436"/>
      <c r="M73" s="441"/>
      <c r="N73" s="57"/>
      <c r="O73" s="57"/>
      <c r="P73" s="60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</row>
    <row r="74" spans="1:27" ht="16.5">
      <c r="A74" s="57"/>
      <c r="B74" s="61">
        <v>69</v>
      </c>
      <c r="C74" s="146"/>
      <c r="D74" s="435"/>
      <c r="E74" s="436"/>
      <c r="F74" s="437"/>
      <c r="G74" s="438"/>
      <c r="H74" s="439"/>
      <c r="I74" s="440"/>
      <c r="J74" s="435"/>
      <c r="K74" s="436"/>
      <c r="L74" s="436"/>
      <c r="M74" s="441"/>
      <c r="N74" s="57"/>
      <c r="O74" s="57"/>
      <c r="P74" s="60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</row>
    <row r="75" spans="1:27" ht="16.5">
      <c r="A75" s="57"/>
      <c r="B75" s="61">
        <v>70</v>
      </c>
      <c r="C75" s="146"/>
      <c r="D75" s="435"/>
      <c r="E75" s="436"/>
      <c r="F75" s="437"/>
      <c r="G75" s="438"/>
      <c r="H75" s="439"/>
      <c r="I75" s="440"/>
      <c r="J75" s="435"/>
      <c r="K75" s="436"/>
      <c r="L75" s="436"/>
      <c r="M75" s="441"/>
      <c r="N75" s="57"/>
      <c r="O75" s="57"/>
      <c r="P75" s="60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</row>
    <row r="76" spans="1:27" ht="16.5">
      <c r="A76" s="57"/>
      <c r="B76" s="61">
        <v>71</v>
      </c>
      <c r="C76" s="146"/>
      <c r="D76" s="435"/>
      <c r="E76" s="436"/>
      <c r="F76" s="437"/>
      <c r="G76" s="438"/>
      <c r="H76" s="439"/>
      <c r="I76" s="440"/>
      <c r="J76" s="435"/>
      <c r="K76" s="436"/>
      <c r="L76" s="436"/>
      <c r="M76" s="441"/>
      <c r="N76" s="57"/>
      <c r="O76" s="57"/>
      <c r="P76" s="60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</row>
    <row r="77" spans="1:27" ht="16.5">
      <c r="A77" s="57"/>
      <c r="B77" s="61">
        <v>72</v>
      </c>
      <c r="C77" s="146"/>
      <c r="D77" s="435"/>
      <c r="E77" s="436"/>
      <c r="F77" s="437"/>
      <c r="G77" s="438"/>
      <c r="H77" s="439"/>
      <c r="I77" s="440"/>
      <c r="J77" s="435"/>
      <c r="K77" s="436"/>
      <c r="L77" s="436"/>
      <c r="M77" s="441"/>
      <c r="N77" s="57"/>
      <c r="O77" s="57"/>
      <c r="P77" s="60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</row>
    <row r="78" spans="1:27" ht="16.5">
      <c r="A78" s="57"/>
      <c r="B78" s="61">
        <v>73</v>
      </c>
      <c r="C78" s="146"/>
      <c r="D78" s="435"/>
      <c r="E78" s="436"/>
      <c r="F78" s="437"/>
      <c r="G78" s="438"/>
      <c r="H78" s="439"/>
      <c r="I78" s="440"/>
      <c r="J78" s="435"/>
      <c r="K78" s="436"/>
      <c r="L78" s="436"/>
      <c r="M78" s="441"/>
      <c r="N78" s="57"/>
      <c r="O78" s="57"/>
      <c r="P78" s="60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</row>
    <row r="79" spans="1:27" ht="16.5">
      <c r="A79" s="57"/>
      <c r="B79" s="61">
        <v>74</v>
      </c>
      <c r="C79" s="146"/>
      <c r="D79" s="435"/>
      <c r="E79" s="436"/>
      <c r="F79" s="437"/>
      <c r="G79" s="438"/>
      <c r="H79" s="439"/>
      <c r="I79" s="440"/>
      <c r="J79" s="435"/>
      <c r="K79" s="436"/>
      <c r="L79" s="436"/>
      <c r="M79" s="441"/>
      <c r="N79" s="57"/>
      <c r="O79" s="57"/>
      <c r="P79" s="60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</row>
    <row r="80" spans="1:27" ht="16.5">
      <c r="A80" s="57"/>
      <c r="B80" s="61">
        <v>75</v>
      </c>
      <c r="C80" s="146"/>
      <c r="D80" s="435"/>
      <c r="E80" s="436"/>
      <c r="F80" s="437"/>
      <c r="G80" s="438"/>
      <c r="H80" s="439"/>
      <c r="I80" s="440"/>
      <c r="J80" s="435"/>
      <c r="K80" s="436"/>
      <c r="L80" s="436"/>
      <c r="M80" s="441"/>
      <c r="N80" s="57"/>
      <c r="O80" s="57"/>
      <c r="P80" s="60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</row>
    <row r="81" spans="1:27" ht="16.5">
      <c r="A81" s="57"/>
      <c r="B81" s="61">
        <v>76</v>
      </c>
      <c r="C81" s="146"/>
      <c r="D81" s="435"/>
      <c r="E81" s="436"/>
      <c r="F81" s="437"/>
      <c r="G81" s="438"/>
      <c r="H81" s="439"/>
      <c r="I81" s="440"/>
      <c r="J81" s="435"/>
      <c r="K81" s="436"/>
      <c r="L81" s="436"/>
      <c r="M81" s="441"/>
      <c r="N81" s="57"/>
      <c r="O81" s="57"/>
      <c r="P81" s="60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</row>
    <row r="82" spans="1:27" ht="16.5">
      <c r="A82" s="57"/>
      <c r="B82" s="61">
        <v>77</v>
      </c>
      <c r="C82" s="146"/>
      <c r="D82" s="435"/>
      <c r="E82" s="436"/>
      <c r="F82" s="437"/>
      <c r="G82" s="438"/>
      <c r="H82" s="439"/>
      <c r="I82" s="440"/>
      <c r="J82" s="435"/>
      <c r="K82" s="436"/>
      <c r="L82" s="436"/>
      <c r="M82" s="441"/>
      <c r="N82" s="57"/>
      <c r="O82" s="57"/>
      <c r="P82" s="60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</row>
    <row r="83" spans="1:27" ht="16.5">
      <c r="A83" s="57"/>
      <c r="B83" s="61">
        <v>78</v>
      </c>
      <c r="C83" s="146"/>
      <c r="D83" s="435"/>
      <c r="E83" s="436"/>
      <c r="F83" s="437"/>
      <c r="G83" s="438"/>
      <c r="H83" s="439"/>
      <c r="I83" s="440"/>
      <c r="J83" s="435"/>
      <c r="K83" s="436"/>
      <c r="L83" s="436"/>
      <c r="M83" s="441"/>
      <c r="N83" s="57"/>
      <c r="O83" s="57"/>
      <c r="P83" s="60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</row>
    <row r="84" spans="1:27" ht="16.5">
      <c r="A84" s="57"/>
      <c r="B84" s="61">
        <v>79</v>
      </c>
      <c r="C84" s="146"/>
      <c r="D84" s="435"/>
      <c r="E84" s="436"/>
      <c r="F84" s="437"/>
      <c r="G84" s="438"/>
      <c r="H84" s="439"/>
      <c r="I84" s="440"/>
      <c r="J84" s="435"/>
      <c r="K84" s="436"/>
      <c r="L84" s="436"/>
      <c r="M84" s="441"/>
      <c r="N84" s="57"/>
      <c r="O84" s="57"/>
      <c r="P84" s="60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</row>
    <row r="85" spans="1:27" ht="16.5">
      <c r="A85" s="57"/>
      <c r="B85" s="61">
        <v>80</v>
      </c>
      <c r="C85" s="146"/>
      <c r="D85" s="435"/>
      <c r="E85" s="436"/>
      <c r="F85" s="437"/>
      <c r="G85" s="438"/>
      <c r="H85" s="439"/>
      <c r="I85" s="440"/>
      <c r="J85" s="435"/>
      <c r="K85" s="436"/>
      <c r="L85" s="436"/>
      <c r="M85" s="441"/>
      <c r="N85" s="57"/>
      <c r="O85" s="57"/>
      <c r="P85" s="60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</row>
    <row r="86" spans="1:27" ht="16.5">
      <c r="A86" s="57"/>
      <c r="B86" s="61">
        <v>81</v>
      </c>
      <c r="C86" s="146"/>
      <c r="D86" s="435"/>
      <c r="E86" s="436"/>
      <c r="F86" s="437"/>
      <c r="G86" s="438"/>
      <c r="H86" s="439"/>
      <c r="I86" s="440"/>
      <c r="J86" s="435"/>
      <c r="K86" s="436"/>
      <c r="L86" s="436"/>
      <c r="M86" s="441"/>
      <c r="N86" s="57"/>
      <c r="O86" s="57"/>
      <c r="P86" s="60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</row>
    <row r="87" spans="1:27" ht="16.5">
      <c r="A87" s="57"/>
      <c r="B87" s="61">
        <v>82</v>
      </c>
      <c r="C87" s="146"/>
      <c r="D87" s="435"/>
      <c r="E87" s="436"/>
      <c r="F87" s="437"/>
      <c r="G87" s="438"/>
      <c r="H87" s="439"/>
      <c r="I87" s="440"/>
      <c r="J87" s="435"/>
      <c r="K87" s="436"/>
      <c r="L87" s="436"/>
      <c r="M87" s="441"/>
      <c r="N87" s="57"/>
      <c r="O87" s="57"/>
      <c r="P87" s="60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</row>
    <row r="88" spans="1:27" ht="16.5">
      <c r="A88" s="57"/>
      <c r="B88" s="61">
        <v>83</v>
      </c>
      <c r="C88" s="146"/>
      <c r="D88" s="435"/>
      <c r="E88" s="436"/>
      <c r="F88" s="437"/>
      <c r="G88" s="438"/>
      <c r="H88" s="439"/>
      <c r="I88" s="440"/>
      <c r="J88" s="435"/>
      <c r="K88" s="436"/>
      <c r="L88" s="436"/>
      <c r="M88" s="441"/>
      <c r="N88" s="57"/>
      <c r="O88" s="57"/>
      <c r="P88" s="60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</row>
    <row r="89" spans="1:27" ht="16.5">
      <c r="A89" s="57"/>
      <c r="B89" s="61">
        <v>84</v>
      </c>
      <c r="C89" s="146"/>
      <c r="D89" s="435"/>
      <c r="E89" s="436"/>
      <c r="F89" s="437"/>
      <c r="G89" s="438"/>
      <c r="H89" s="439"/>
      <c r="I89" s="440"/>
      <c r="J89" s="435"/>
      <c r="K89" s="436"/>
      <c r="L89" s="436"/>
      <c r="M89" s="441"/>
      <c r="N89" s="57"/>
      <c r="O89" s="57"/>
      <c r="P89" s="60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</row>
    <row r="90" spans="1:27" ht="16.5">
      <c r="A90" s="57"/>
      <c r="B90" s="61">
        <v>85</v>
      </c>
      <c r="C90" s="146"/>
      <c r="D90" s="435"/>
      <c r="E90" s="436"/>
      <c r="F90" s="437"/>
      <c r="G90" s="438"/>
      <c r="H90" s="439"/>
      <c r="I90" s="440"/>
      <c r="J90" s="435"/>
      <c r="K90" s="436"/>
      <c r="L90" s="436"/>
      <c r="M90" s="441"/>
      <c r="N90" s="57"/>
      <c r="O90" s="57"/>
      <c r="P90" s="60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</row>
    <row r="91" spans="1:27" ht="16.5">
      <c r="A91" s="57"/>
      <c r="B91" s="61">
        <v>86</v>
      </c>
      <c r="C91" s="146"/>
      <c r="D91" s="435"/>
      <c r="E91" s="436"/>
      <c r="F91" s="437"/>
      <c r="G91" s="438"/>
      <c r="H91" s="439"/>
      <c r="I91" s="440"/>
      <c r="J91" s="435"/>
      <c r="K91" s="436"/>
      <c r="L91" s="436"/>
      <c r="M91" s="441"/>
      <c r="N91" s="57"/>
      <c r="O91" s="57"/>
      <c r="P91" s="60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</row>
    <row r="92" spans="1:27" ht="16.5">
      <c r="A92" s="57"/>
      <c r="B92" s="61">
        <v>87</v>
      </c>
      <c r="C92" s="146"/>
      <c r="D92" s="435"/>
      <c r="E92" s="436"/>
      <c r="F92" s="437"/>
      <c r="G92" s="438"/>
      <c r="H92" s="439"/>
      <c r="I92" s="440"/>
      <c r="J92" s="435"/>
      <c r="K92" s="436"/>
      <c r="L92" s="436"/>
      <c r="M92" s="441"/>
      <c r="N92" s="57"/>
      <c r="O92" s="57"/>
      <c r="P92" s="60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</row>
    <row r="93" spans="1:27" ht="16.5">
      <c r="A93" s="57"/>
      <c r="B93" s="61">
        <v>88</v>
      </c>
      <c r="C93" s="146"/>
      <c r="D93" s="435"/>
      <c r="E93" s="436"/>
      <c r="F93" s="437"/>
      <c r="G93" s="438"/>
      <c r="H93" s="439"/>
      <c r="I93" s="440"/>
      <c r="J93" s="435"/>
      <c r="K93" s="436"/>
      <c r="L93" s="436"/>
      <c r="M93" s="441"/>
      <c r="N93" s="57"/>
      <c r="O93" s="57"/>
      <c r="P93" s="60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</row>
    <row r="94" spans="1:27" ht="16.5">
      <c r="A94" s="57"/>
      <c r="B94" s="61">
        <v>89</v>
      </c>
      <c r="C94" s="146"/>
      <c r="D94" s="435"/>
      <c r="E94" s="436"/>
      <c r="F94" s="437"/>
      <c r="G94" s="438"/>
      <c r="H94" s="439"/>
      <c r="I94" s="440"/>
      <c r="J94" s="435"/>
      <c r="K94" s="436"/>
      <c r="L94" s="436"/>
      <c r="M94" s="441"/>
      <c r="N94" s="57"/>
      <c r="O94" s="57"/>
      <c r="P94" s="60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</row>
    <row r="95" spans="1:27" ht="16.5">
      <c r="A95" s="57"/>
      <c r="B95" s="61">
        <v>90</v>
      </c>
      <c r="C95" s="146"/>
      <c r="D95" s="435"/>
      <c r="E95" s="436"/>
      <c r="F95" s="437"/>
      <c r="G95" s="438"/>
      <c r="H95" s="439"/>
      <c r="I95" s="440"/>
      <c r="J95" s="435"/>
      <c r="K95" s="436"/>
      <c r="L95" s="436"/>
      <c r="M95" s="441"/>
      <c r="N95" s="57"/>
      <c r="O95" s="57"/>
      <c r="P95" s="60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</row>
    <row r="96" spans="1:27" ht="16.5">
      <c r="A96" s="57"/>
      <c r="B96" s="61">
        <v>91</v>
      </c>
      <c r="C96" s="146"/>
      <c r="D96" s="435"/>
      <c r="E96" s="436"/>
      <c r="F96" s="437"/>
      <c r="G96" s="438"/>
      <c r="H96" s="439"/>
      <c r="I96" s="440"/>
      <c r="J96" s="435"/>
      <c r="K96" s="436"/>
      <c r="L96" s="436"/>
      <c r="M96" s="441"/>
      <c r="N96" s="57"/>
      <c r="O96" s="57"/>
      <c r="P96" s="60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</row>
    <row r="97" spans="1:27" ht="16.5">
      <c r="A97" s="57"/>
      <c r="B97" s="61">
        <v>92</v>
      </c>
      <c r="C97" s="146"/>
      <c r="D97" s="435"/>
      <c r="E97" s="436"/>
      <c r="F97" s="437"/>
      <c r="G97" s="438"/>
      <c r="H97" s="439"/>
      <c r="I97" s="440"/>
      <c r="J97" s="435"/>
      <c r="K97" s="436"/>
      <c r="L97" s="436"/>
      <c r="M97" s="441"/>
      <c r="N97" s="57"/>
      <c r="O97" s="57"/>
      <c r="P97" s="60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</row>
    <row r="98" spans="1:27" ht="16.5">
      <c r="A98" s="57"/>
      <c r="B98" s="61">
        <v>93</v>
      </c>
      <c r="C98" s="146"/>
      <c r="D98" s="435"/>
      <c r="E98" s="436"/>
      <c r="F98" s="437"/>
      <c r="G98" s="438"/>
      <c r="H98" s="439"/>
      <c r="I98" s="440"/>
      <c r="J98" s="435"/>
      <c r="K98" s="436"/>
      <c r="L98" s="436"/>
      <c r="M98" s="441"/>
      <c r="N98" s="57"/>
      <c r="O98" s="57"/>
      <c r="P98" s="60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</row>
    <row r="99" spans="1:27" ht="16.5">
      <c r="A99" s="57"/>
      <c r="B99" s="61">
        <v>94</v>
      </c>
      <c r="C99" s="146"/>
      <c r="D99" s="435"/>
      <c r="E99" s="436"/>
      <c r="F99" s="437"/>
      <c r="G99" s="438"/>
      <c r="H99" s="439"/>
      <c r="I99" s="440"/>
      <c r="J99" s="435"/>
      <c r="K99" s="436"/>
      <c r="L99" s="436"/>
      <c r="M99" s="441"/>
      <c r="N99" s="57"/>
      <c r="O99" s="57"/>
      <c r="P99" s="60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</row>
    <row r="100" spans="1:27" ht="16.5">
      <c r="A100" s="57"/>
      <c r="B100" s="61">
        <v>95</v>
      </c>
      <c r="C100" s="146"/>
      <c r="D100" s="435"/>
      <c r="E100" s="436"/>
      <c r="F100" s="437"/>
      <c r="G100" s="438"/>
      <c r="H100" s="439"/>
      <c r="I100" s="440"/>
      <c r="J100" s="435"/>
      <c r="K100" s="436"/>
      <c r="L100" s="436"/>
      <c r="M100" s="441"/>
      <c r="N100" s="57"/>
      <c r="O100" s="57"/>
      <c r="P100" s="60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</row>
    <row r="101" spans="1:27" ht="16.5">
      <c r="A101" s="57"/>
      <c r="B101" s="61">
        <v>96</v>
      </c>
      <c r="C101" s="146"/>
      <c r="D101" s="435"/>
      <c r="E101" s="436"/>
      <c r="F101" s="437"/>
      <c r="G101" s="438"/>
      <c r="H101" s="439"/>
      <c r="I101" s="440"/>
      <c r="J101" s="435"/>
      <c r="K101" s="436"/>
      <c r="L101" s="436"/>
      <c r="M101" s="441"/>
      <c r="N101" s="57"/>
      <c r="O101" s="57"/>
      <c r="P101" s="60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</row>
    <row r="102" spans="1:27" ht="16.5">
      <c r="A102" s="57"/>
      <c r="B102" s="61">
        <v>97</v>
      </c>
      <c r="C102" s="146"/>
      <c r="D102" s="435"/>
      <c r="E102" s="436"/>
      <c r="F102" s="437"/>
      <c r="G102" s="438"/>
      <c r="H102" s="439"/>
      <c r="I102" s="440"/>
      <c r="J102" s="435"/>
      <c r="K102" s="436"/>
      <c r="L102" s="436"/>
      <c r="M102" s="441"/>
      <c r="N102" s="57"/>
      <c r="O102" s="57"/>
      <c r="P102" s="60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</row>
    <row r="103" spans="1:27" ht="16.5">
      <c r="A103" s="57"/>
      <c r="B103" s="61">
        <v>98</v>
      </c>
      <c r="C103" s="146"/>
      <c r="D103" s="435"/>
      <c r="E103" s="436"/>
      <c r="F103" s="437"/>
      <c r="G103" s="438"/>
      <c r="H103" s="439"/>
      <c r="I103" s="440"/>
      <c r="J103" s="435"/>
      <c r="K103" s="436"/>
      <c r="L103" s="436"/>
      <c r="M103" s="441"/>
      <c r="N103" s="57"/>
      <c r="O103" s="57"/>
      <c r="P103" s="60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</row>
    <row r="104" spans="1:27" ht="16.5">
      <c r="A104" s="57"/>
      <c r="B104" s="61">
        <v>99</v>
      </c>
      <c r="C104" s="146"/>
      <c r="D104" s="435"/>
      <c r="E104" s="436"/>
      <c r="F104" s="437"/>
      <c r="G104" s="438"/>
      <c r="H104" s="439"/>
      <c r="I104" s="440"/>
      <c r="J104" s="435"/>
      <c r="K104" s="436"/>
      <c r="L104" s="436"/>
      <c r="M104" s="441"/>
      <c r="N104" s="57"/>
      <c r="O104" s="57"/>
      <c r="P104" s="60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</row>
    <row r="105" spans="1:27" ht="16.5">
      <c r="A105" s="57"/>
      <c r="B105" s="61">
        <v>100</v>
      </c>
      <c r="C105" s="146"/>
      <c r="D105" s="435"/>
      <c r="E105" s="436"/>
      <c r="F105" s="437"/>
      <c r="G105" s="438"/>
      <c r="H105" s="439"/>
      <c r="I105" s="440"/>
      <c r="J105" s="435"/>
      <c r="K105" s="436"/>
      <c r="L105" s="436"/>
      <c r="M105" s="441"/>
      <c r="N105" s="57"/>
      <c r="O105" s="57"/>
      <c r="P105" s="60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</row>
    <row r="106" spans="1:27" ht="16.5">
      <c r="A106" s="57"/>
      <c r="B106" s="61">
        <v>101</v>
      </c>
      <c r="C106" s="146"/>
      <c r="D106" s="435"/>
      <c r="E106" s="436"/>
      <c r="F106" s="437"/>
      <c r="G106" s="438"/>
      <c r="H106" s="439"/>
      <c r="I106" s="440"/>
      <c r="J106" s="435"/>
      <c r="K106" s="436"/>
      <c r="L106" s="436"/>
      <c r="M106" s="441"/>
      <c r="N106" s="57"/>
      <c r="O106" s="57"/>
      <c r="P106" s="60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</row>
    <row r="107" spans="1:27" ht="16.5">
      <c r="A107" s="57"/>
      <c r="B107" s="61">
        <v>102</v>
      </c>
      <c r="C107" s="146"/>
      <c r="D107" s="435"/>
      <c r="E107" s="436"/>
      <c r="F107" s="437"/>
      <c r="G107" s="438"/>
      <c r="H107" s="439"/>
      <c r="I107" s="440"/>
      <c r="J107" s="435"/>
      <c r="K107" s="436"/>
      <c r="L107" s="436"/>
      <c r="M107" s="441"/>
      <c r="N107" s="57"/>
      <c r="O107" s="57"/>
      <c r="P107" s="60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</row>
    <row r="108" spans="1:27" ht="16.5">
      <c r="A108" s="57"/>
      <c r="B108" s="61">
        <v>103</v>
      </c>
      <c r="C108" s="146"/>
      <c r="D108" s="435"/>
      <c r="E108" s="436"/>
      <c r="F108" s="437"/>
      <c r="G108" s="438"/>
      <c r="H108" s="439"/>
      <c r="I108" s="440"/>
      <c r="J108" s="435"/>
      <c r="K108" s="436"/>
      <c r="L108" s="436"/>
      <c r="M108" s="441"/>
      <c r="N108" s="57"/>
      <c r="O108" s="57"/>
      <c r="P108" s="60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</row>
    <row r="109" spans="1:27" ht="16.5">
      <c r="A109" s="57"/>
      <c r="B109" s="61">
        <v>104</v>
      </c>
      <c r="C109" s="146"/>
      <c r="D109" s="435"/>
      <c r="E109" s="436"/>
      <c r="F109" s="437"/>
      <c r="G109" s="438"/>
      <c r="H109" s="439"/>
      <c r="I109" s="440"/>
      <c r="J109" s="435"/>
      <c r="K109" s="436"/>
      <c r="L109" s="436"/>
      <c r="M109" s="441"/>
      <c r="N109" s="57"/>
      <c r="O109" s="57"/>
      <c r="P109" s="60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</row>
    <row r="110" spans="1:27" ht="16.5">
      <c r="A110" s="57"/>
      <c r="B110" s="61">
        <v>105</v>
      </c>
      <c r="C110" s="146"/>
      <c r="D110" s="435"/>
      <c r="E110" s="436"/>
      <c r="F110" s="437"/>
      <c r="G110" s="438"/>
      <c r="H110" s="439"/>
      <c r="I110" s="440"/>
      <c r="J110" s="435"/>
      <c r="K110" s="436"/>
      <c r="L110" s="436"/>
      <c r="M110" s="441"/>
      <c r="N110" s="57"/>
      <c r="O110" s="57"/>
      <c r="P110" s="60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</row>
    <row r="111" spans="1:27" ht="16.5">
      <c r="A111" s="57"/>
      <c r="B111" s="61">
        <v>106</v>
      </c>
      <c r="C111" s="146"/>
      <c r="D111" s="435"/>
      <c r="E111" s="436"/>
      <c r="F111" s="437"/>
      <c r="G111" s="438"/>
      <c r="H111" s="439"/>
      <c r="I111" s="440"/>
      <c r="J111" s="435"/>
      <c r="K111" s="436"/>
      <c r="L111" s="436"/>
      <c r="M111" s="441"/>
      <c r="N111" s="57"/>
      <c r="O111" s="57"/>
      <c r="P111" s="60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</row>
    <row r="112" spans="1:27" ht="16.5">
      <c r="A112" s="57"/>
      <c r="B112" s="61">
        <v>107</v>
      </c>
      <c r="C112" s="146"/>
      <c r="D112" s="435"/>
      <c r="E112" s="436"/>
      <c r="F112" s="437"/>
      <c r="G112" s="438"/>
      <c r="H112" s="439"/>
      <c r="I112" s="440"/>
      <c r="J112" s="435"/>
      <c r="K112" s="436"/>
      <c r="L112" s="436"/>
      <c r="M112" s="441"/>
      <c r="N112" s="57"/>
      <c r="O112" s="57"/>
      <c r="P112" s="60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</row>
    <row r="113" spans="1:27" ht="16.5">
      <c r="A113" s="57"/>
      <c r="B113" s="61">
        <v>108</v>
      </c>
      <c r="C113" s="146"/>
      <c r="D113" s="435"/>
      <c r="E113" s="436"/>
      <c r="F113" s="437"/>
      <c r="G113" s="438"/>
      <c r="H113" s="439"/>
      <c r="I113" s="440"/>
      <c r="J113" s="435"/>
      <c r="K113" s="436"/>
      <c r="L113" s="436"/>
      <c r="M113" s="441"/>
      <c r="N113" s="57"/>
      <c r="O113" s="57"/>
      <c r="P113" s="60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</row>
    <row r="114" spans="1:27" ht="16.5">
      <c r="A114" s="57"/>
      <c r="B114" s="61">
        <v>109</v>
      </c>
      <c r="C114" s="146"/>
      <c r="D114" s="435"/>
      <c r="E114" s="436"/>
      <c r="F114" s="437"/>
      <c r="G114" s="438"/>
      <c r="H114" s="439"/>
      <c r="I114" s="440"/>
      <c r="J114" s="435"/>
      <c r="K114" s="436"/>
      <c r="L114" s="436"/>
      <c r="M114" s="441"/>
      <c r="N114" s="57"/>
      <c r="O114" s="57"/>
      <c r="P114" s="60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</row>
    <row r="115" spans="1:27" ht="16.5">
      <c r="A115" s="57"/>
      <c r="B115" s="61">
        <v>110</v>
      </c>
      <c r="C115" s="146"/>
      <c r="D115" s="435"/>
      <c r="E115" s="436"/>
      <c r="F115" s="437"/>
      <c r="G115" s="438"/>
      <c r="H115" s="439"/>
      <c r="I115" s="440"/>
      <c r="J115" s="435"/>
      <c r="K115" s="436"/>
      <c r="L115" s="436"/>
      <c r="M115" s="441"/>
      <c r="N115" s="57"/>
      <c r="O115" s="57"/>
      <c r="P115" s="60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</row>
    <row r="116" spans="1:27" ht="16.5">
      <c r="A116" s="57"/>
      <c r="B116" s="61">
        <v>111</v>
      </c>
      <c r="C116" s="146"/>
      <c r="D116" s="435"/>
      <c r="E116" s="436"/>
      <c r="F116" s="437"/>
      <c r="G116" s="438"/>
      <c r="H116" s="439"/>
      <c r="I116" s="440"/>
      <c r="J116" s="435"/>
      <c r="K116" s="436"/>
      <c r="L116" s="436"/>
      <c r="M116" s="441"/>
      <c r="N116" s="57"/>
      <c r="O116" s="57"/>
      <c r="P116" s="60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</row>
    <row r="117" spans="1:27" ht="16.5">
      <c r="A117" s="57"/>
      <c r="B117" s="61">
        <v>112</v>
      </c>
      <c r="C117" s="146"/>
      <c r="D117" s="435"/>
      <c r="E117" s="436"/>
      <c r="F117" s="437"/>
      <c r="G117" s="438"/>
      <c r="H117" s="439"/>
      <c r="I117" s="440"/>
      <c r="J117" s="435"/>
      <c r="K117" s="436"/>
      <c r="L117" s="436"/>
      <c r="M117" s="441"/>
      <c r="N117" s="57"/>
      <c r="O117" s="57"/>
      <c r="P117" s="60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</row>
    <row r="118" spans="1:27" ht="16.5">
      <c r="A118" s="57"/>
      <c r="B118" s="61">
        <v>113</v>
      </c>
      <c r="C118" s="146"/>
      <c r="D118" s="435"/>
      <c r="E118" s="436"/>
      <c r="F118" s="437"/>
      <c r="G118" s="438"/>
      <c r="H118" s="439"/>
      <c r="I118" s="440"/>
      <c r="J118" s="435"/>
      <c r="K118" s="436"/>
      <c r="L118" s="436"/>
      <c r="M118" s="441"/>
      <c r="N118" s="57"/>
      <c r="O118" s="57"/>
      <c r="P118" s="60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</row>
    <row r="119" spans="1:27" ht="16.5">
      <c r="A119" s="57"/>
      <c r="B119" s="61">
        <v>114</v>
      </c>
      <c r="C119" s="146"/>
      <c r="D119" s="435"/>
      <c r="E119" s="436"/>
      <c r="F119" s="437"/>
      <c r="G119" s="438"/>
      <c r="H119" s="439"/>
      <c r="I119" s="440"/>
      <c r="J119" s="435"/>
      <c r="K119" s="436"/>
      <c r="L119" s="436"/>
      <c r="M119" s="441"/>
      <c r="N119" s="57"/>
      <c r="O119" s="57"/>
      <c r="P119" s="60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</row>
    <row r="120" spans="1:27" ht="16.5">
      <c r="A120" s="57"/>
      <c r="B120" s="61">
        <v>115</v>
      </c>
      <c r="C120" s="146"/>
      <c r="D120" s="435"/>
      <c r="E120" s="436"/>
      <c r="F120" s="437"/>
      <c r="G120" s="438"/>
      <c r="H120" s="439"/>
      <c r="I120" s="440"/>
      <c r="J120" s="435"/>
      <c r="K120" s="436"/>
      <c r="L120" s="436"/>
      <c r="M120" s="441"/>
      <c r="N120" s="57"/>
      <c r="O120" s="57"/>
      <c r="P120" s="60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</row>
    <row r="121" spans="1:27" ht="16.5">
      <c r="A121" s="57"/>
      <c r="B121" s="61">
        <v>116</v>
      </c>
      <c r="C121" s="146"/>
      <c r="D121" s="435"/>
      <c r="E121" s="436"/>
      <c r="F121" s="437"/>
      <c r="G121" s="438"/>
      <c r="H121" s="439"/>
      <c r="I121" s="440"/>
      <c r="J121" s="435"/>
      <c r="K121" s="436"/>
      <c r="L121" s="436"/>
      <c r="M121" s="441"/>
      <c r="N121" s="57"/>
      <c r="O121" s="57"/>
      <c r="P121" s="60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</row>
    <row r="122" spans="1:27" ht="16.5">
      <c r="A122" s="57"/>
      <c r="B122" s="61">
        <v>117</v>
      </c>
      <c r="C122" s="146"/>
      <c r="D122" s="435"/>
      <c r="E122" s="436"/>
      <c r="F122" s="437"/>
      <c r="G122" s="438"/>
      <c r="H122" s="439"/>
      <c r="I122" s="440"/>
      <c r="J122" s="435"/>
      <c r="K122" s="436"/>
      <c r="L122" s="436"/>
      <c r="M122" s="441"/>
      <c r="N122" s="57"/>
      <c r="O122" s="57"/>
      <c r="P122" s="60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</row>
    <row r="123" spans="1:27" ht="16.5">
      <c r="A123" s="57"/>
      <c r="B123" s="61">
        <v>118</v>
      </c>
      <c r="C123" s="146"/>
      <c r="D123" s="435"/>
      <c r="E123" s="436"/>
      <c r="F123" s="437"/>
      <c r="G123" s="438"/>
      <c r="H123" s="439"/>
      <c r="I123" s="440"/>
      <c r="J123" s="435"/>
      <c r="K123" s="436"/>
      <c r="L123" s="436"/>
      <c r="M123" s="441"/>
      <c r="N123" s="57"/>
      <c r="O123" s="57"/>
      <c r="P123" s="60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</row>
    <row r="124" spans="1:27" ht="16.5">
      <c r="A124" s="57"/>
      <c r="B124" s="61">
        <v>119</v>
      </c>
      <c r="C124" s="146"/>
      <c r="D124" s="435"/>
      <c r="E124" s="436"/>
      <c r="F124" s="437"/>
      <c r="G124" s="438"/>
      <c r="H124" s="439"/>
      <c r="I124" s="440"/>
      <c r="J124" s="435"/>
      <c r="K124" s="436"/>
      <c r="L124" s="436"/>
      <c r="M124" s="441"/>
      <c r="N124" s="57"/>
      <c r="O124" s="57"/>
      <c r="P124" s="60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</row>
    <row r="125" spans="1:27" ht="16.5">
      <c r="A125" s="57"/>
      <c r="B125" s="61">
        <v>120</v>
      </c>
      <c r="C125" s="146"/>
      <c r="D125" s="435"/>
      <c r="E125" s="436"/>
      <c r="F125" s="437"/>
      <c r="G125" s="438"/>
      <c r="H125" s="439"/>
      <c r="I125" s="440"/>
      <c r="J125" s="435"/>
      <c r="K125" s="436"/>
      <c r="L125" s="436"/>
      <c r="M125" s="441"/>
      <c r="N125" s="57"/>
      <c r="O125" s="57"/>
      <c r="P125" s="60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</row>
    <row r="126" spans="1:27" ht="16.5">
      <c r="A126" s="57"/>
      <c r="B126" s="61">
        <v>121</v>
      </c>
      <c r="C126" s="146"/>
      <c r="D126" s="435"/>
      <c r="E126" s="436"/>
      <c r="F126" s="437"/>
      <c r="G126" s="438"/>
      <c r="H126" s="439"/>
      <c r="I126" s="440"/>
      <c r="J126" s="435"/>
      <c r="K126" s="436"/>
      <c r="L126" s="436"/>
      <c r="M126" s="441"/>
      <c r="N126" s="57"/>
      <c r="O126" s="57"/>
      <c r="P126" s="60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</row>
    <row r="127" spans="1:27" ht="16.5">
      <c r="A127" s="57"/>
      <c r="B127" s="61">
        <v>122</v>
      </c>
      <c r="C127" s="146"/>
      <c r="D127" s="435"/>
      <c r="E127" s="436"/>
      <c r="F127" s="437"/>
      <c r="G127" s="438"/>
      <c r="H127" s="439"/>
      <c r="I127" s="440"/>
      <c r="J127" s="435"/>
      <c r="K127" s="436"/>
      <c r="L127" s="436"/>
      <c r="M127" s="441"/>
      <c r="N127" s="57"/>
      <c r="O127" s="57"/>
      <c r="P127" s="60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</row>
    <row r="128" spans="1:27" ht="16.5">
      <c r="A128" s="57"/>
      <c r="B128" s="61">
        <v>123</v>
      </c>
      <c r="C128" s="146"/>
      <c r="D128" s="435"/>
      <c r="E128" s="436"/>
      <c r="F128" s="437"/>
      <c r="G128" s="438"/>
      <c r="H128" s="439"/>
      <c r="I128" s="440"/>
      <c r="J128" s="435"/>
      <c r="K128" s="436"/>
      <c r="L128" s="436"/>
      <c r="M128" s="441"/>
      <c r="N128" s="57"/>
      <c r="O128" s="57"/>
      <c r="P128" s="60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</row>
    <row r="129" spans="1:27" ht="16.5">
      <c r="A129" s="57"/>
      <c r="B129" s="61">
        <v>124</v>
      </c>
      <c r="C129" s="146"/>
      <c r="D129" s="435"/>
      <c r="E129" s="436"/>
      <c r="F129" s="437"/>
      <c r="G129" s="438"/>
      <c r="H129" s="439"/>
      <c r="I129" s="440"/>
      <c r="J129" s="435"/>
      <c r="K129" s="436"/>
      <c r="L129" s="436"/>
      <c r="M129" s="441"/>
      <c r="N129" s="57"/>
      <c r="O129" s="57"/>
      <c r="P129" s="60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</row>
    <row r="130" spans="1:27" ht="16.5">
      <c r="A130" s="57"/>
      <c r="B130" s="61">
        <v>125</v>
      </c>
      <c r="C130" s="146"/>
      <c r="D130" s="435"/>
      <c r="E130" s="436"/>
      <c r="F130" s="437"/>
      <c r="G130" s="438"/>
      <c r="H130" s="439"/>
      <c r="I130" s="440"/>
      <c r="J130" s="435"/>
      <c r="K130" s="436"/>
      <c r="L130" s="436"/>
      <c r="M130" s="441"/>
      <c r="N130" s="57"/>
      <c r="O130" s="57"/>
      <c r="P130" s="60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</row>
    <row r="131" spans="1:27" ht="16.5">
      <c r="A131" s="57"/>
      <c r="B131" s="61">
        <v>126</v>
      </c>
      <c r="C131" s="146"/>
      <c r="D131" s="435"/>
      <c r="E131" s="436"/>
      <c r="F131" s="437"/>
      <c r="G131" s="438"/>
      <c r="H131" s="439"/>
      <c r="I131" s="440"/>
      <c r="J131" s="435"/>
      <c r="K131" s="436"/>
      <c r="L131" s="436"/>
      <c r="M131" s="441"/>
      <c r="N131" s="57"/>
      <c r="O131" s="57"/>
      <c r="P131" s="60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</row>
    <row r="132" spans="1:27" ht="16.5">
      <c r="A132" s="57"/>
      <c r="B132" s="61">
        <v>127</v>
      </c>
      <c r="C132" s="146"/>
      <c r="D132" s="435"/>
      <c r="E132" s="436"/>
      <c r="F132" s="437"/>
      <c r="G132" s="438"/>
      <c r="H132" s="439"/>
      <c r="I132" s="440"/>
      <c r="J132" s="435"/>
      <c r="K132" s="436"/>
      <c r="L132" s="436"/>
      <c r="M132" s="441"/>
      <c r="N132" s="57"/>
      <c r="O132" s="57"/>
      <c r="P132" s="60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</row>
    <row r="133" spans="1:27" ht="16.5">
      <c r="A133" s="57"/>
      <c r="B133" s="61">
        <v>128</v>
      </c>
      <c r="C133" s="146"/>
      <c r="D133" s="435"/>
      <c r="E133" s="436"/>
      <c r="F133" s="437"/>
      <c r="G133" s="438"/>
      <c r="H133" s="439"/>
      <c r="I133" s="440"/>
      <c r="J133" s="435"/>
      <c r="K133" s="436"/>
      <c r="L133" s="436"/>
      <c r="M133" s="441"/>
      <c r="N133" s="57"/>
      <c r="O133" s="57"/>
      <c r="P133" s="60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</row>
    <row r="134" spans="1:27" ht="16.5">
      <c r="A134" s="57"/>
      <c r="B134" s="61">
        <v>129</v>
      </c>
      <c r="C134" s="146"/>
      <c r="D134" s="435"/>
      <c r="E134" s="436"/>
      <c r="F134" s="437"/>
      <c r="G134" s="438"/>
      <c r="H134" s="439"/>
      <c r="I134" s="440"/>
      <c r="J134" s="435"/>
      <c r="K134" s="436"/>
      <c r="L134" s="436"/>
      <c r="M134" s="441"/>
      <c r="N134" s="57"/>
      <c r="O134" s="57"/>
      <c r="P134" s="60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</row>
    <row r="135" spans="1:27" ht="16.5">
      <c r="A135" s="57"/>
      <c r="B135" s="61">
        <v>130</v>
      </c>
      <c r="C135" s="146"/>
      <c r="D135" s="435"/>
      <c r="E135" s="436"/>
      <c r="F135" s="437"/>
      <c r="G135" s="438"/>
      <c r="H135" s="439"/>
      <c r="I135" s="440"/>
      <c r="J135" s="435"/>
      <c r="K135" s="436"/>
      <c r="L135" s="436"/>
      <c r="M135" s="441"/>
      <c r="N135" s="57"/>
      <c r="O135" s="57"/>
      <c r="P135" s="60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</row>
    <row r="136" spans="1:27" ht="16.5">
      <c r="A136" s="57"/>
      <c r="B136" s="61">
        <v>131</v>
      </c>
      <c r="C136" s="146"/>
      <c r="D136" s="435"/>
      <c r="E136" s="436"/>
      <c r="F136" s="437"/>
      <c r="G136" s="438"/>
      <c r="H136" s="439"/>
      <c r="I136" s="440"/>
      <c r="J136" s="435"/>
      <c r="K136" s="436"/>
      <c r="L136" s="436"/>
      <c r="M136" s="441"/>
      <c r="N136" s="57"/>
      <c r="O136" s="57"/>
      <c r="P136" s="60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</row>
    <row r="137" spans="1:27" ht="16.5">
      <c r="A137" s="57"/>
      <c r="B137" s="61">
        <v>132</v>
      </c>
      <c r="C137" s="146"/>
      <c r="D137" s="435"/>
      <c r="E137" s="436"/>
      <c r="F137" s="437"/>
      <c r="G137" s="438"/>
      <c r="H137" s="439"/>
      <c r="I137" s="440"/>
      <c r="J137" s="435"/>
      <c r="K137" s="436"/>
      <c r="L137" s="436"/>
      <c r="M137" s="441"/>
      <c r="N137" s="57"/>
      <c r="O137" s="57"/>
      <c r="P137" s="60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</row>
    <row r="138" spans="1:27" ht="16.5">
      <c r="A138" s="57"/>
      <c r="B138" s="61">
        <v>133</v>
      </c>
      <c r="C138" s="146"/>
      <c r="D138" s="435"/>
      <c r="E138" s="436"/>
      <c r="F138" s="437"/>
      <c r="G138" s="438"/>
      <c r="H138" s="439"/>
      <c r="I138" s="440"/>
      <c r="J138" s="435"/>
      <c r="K138" s="436"/>
      <c r="L138" s="436"/>
      <c r="M138" s="441"/>
      <c r="N138" s="57"/>
      <c r="O138" s="57"/>
      <c r="P138" s="60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</row>
    <row r="139" spans="1:27" ht="16.5">
      <c r="A139" s="57"/>
      <c r="B139" s="61">
        <v>134</v>
      </c>
      <c r="C139" s="146"/>
      <c r="D139" s="435"/>
      <c r="E139" s="436"/>
      <c r="F139" s="437"/>
      <c r="G139" s="438"/>
      <c r="H139" s="439"/>
      <c r="I139" s="440"/>
      <c r="J139" s="435"/>
      <c r="K139" s="436"/>
      <c r="L139" s="436"/>
      <c r="M139" s="441"/>
      <c r="N139" s="57"/>
      <c r="O139" s="57"/>
      <c r="P139" s="60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</row>
    <row r="140" spans="1:27" ht="16.5">
      <c r="A140" s="57"/>
      <c r="B140" s="61">
        <v>135</v>
      </c>
      <c r="C140" s="146"/>
      <c r="D140" s="435"/>
      <c r="E140" s="436"/>
      <c r="F140" s="437"/>
      <c r="G140" s="438"/>
      <c r="H140" s="439"/>
      <c r="I140" s="440"/>
      <c r="J140" s="435"/>
      <c r="K140" s="436"/>
      <c r="L140" s="436"/>
      <c r="M140" s="441"/>
      <c r="N140" s="57"/>
      <c r="O140" s="57"/>
      <c r="P140" s="60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</row>
    <row r="141" spans="1:27" ht="16.5">
      <c r="A141" s="57"/>
      <c r="B141" s="61">
        <v>136</v>
      </c>
      <c r="C141" s="146"/>
      <c r="D141" s="435"/>
      <c r="E141" s="436"/>
      <c r="F141" s="437"/>
      <c r="G141" s="438"/>
      <c r="H141" s="439"/>
      <c r="I141" s="440"/>
      <c r="J141" s="435"/>
      <c r="K141" s="436"/>
      <c r="L141" s="436"/>
      <c r="M141" s="441"/>
      <c r="N141" s="57"/>
      <c r="O141" s="57"/>
      <c r="P141" s="60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</row>
    <row r="142" spans="1:27" ht="16.5">
      <c r="A142" s="57"/>
      <c r="B142" s="61">
        <v>137</v>
      </c>
      <c r="C142" s="146"/>
      <c r="D142" s="435"/>
      <c r="E142" s="436"/>
      <c r="F142" s="437"/>
      <c r="G142" s="438"/>
      <c r="H142" s="439"/>
      <c r="I142" s="440"/>
      <c r="J142" s="435"/>
      <c r="K142" s="436"/>
      <c r="L142" s="436"/>
      <c r="M142" s="441"/>
      <c r="N142" s="57"/>
      <c r="O142" s="57"/>
      <c r="P142" s="60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</row>
    <row r="143" spans="1:27" ht="16.5">
      <c r="A143" s="57"/>
      <c r="B143" s="61">
        <v>138</v>
      </c>
      <c r="C143" s="146"/>
      <c r="D143" s="435"/>
      <c r="E143" s="436"/>
      <c r="F143" s="437"/>
      <c r="G143" s="438"/>
      <c r="H143" s="439"/>
      <c r="I143" s="440"/>
      <c r="J143" s="435"/>
      <c r="K143" s="436"/>
      <c r="L143" s="436"/>
      <c r="M143" s="441"/>
      <c r="N143" s="57"/>
      <c r="O143" s="57"/>
      <c r="P143" s="60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</row>
    <row r="144" spans="1:27" ht="16.5">
      <c r="A144" s="57"/>
      <c r="B144" s="61">
        <v>139</v>
      </c>
      <c r="C144" s="146"/>
      <c r="D144" s="435"/>
      <c r="E144" s="436"/>
      <c r="F144" s="437"/>
      <c r="G144" s="438"/>
      <c r="H144" s="439"/>
      <c r="I144" s="440"/>
      <c r="J144" s="435"/>
      <c r="K144" s="436"/>
      <c r="L144" s="436"/>
      <c r="M144" s="441"/>
      <c r="N144" s="57"/>
      <c r="O144" s="57"/>
      <c r="P144" s="60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</row>
    <row r="145" spans="1:27" ht="16.5">
      <c r="A145" s="57"/>
      <c r="B145" s="61">
        <v>140</v>
      </c>
      <c r="C145" s="146"/>
      <c r="D145" s="435"/>
      <c r="E145" s="436"/>
      <c r="F145" s="437"/>
      <c r="G145" s="438"/>
      <c r="H145" s="439"/>
      <c r="I145" s="440"/>
      <c r="J145" s="435"/>
      <c r="K145" s="436"/>
      <c r="L145" s="436"/>
      <c r="M145" s="441"/>
      <c r="N145" s="57"/>
      <c r="O145" s="57"/>
      <c r="P145" s="60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</row>
    <row r="146" spans="1:27" ht="16.5">
      <c r="A146" s="57"/>
      <c r="B146" s="61">
        <v>141</v>
      </c>
      <c r="C146" s="146"/>
      <c r="D146" s="435"/>
      <c r="E146" s="436"/>
      <c r="F146" s="437"/>
      <c r="G146" s="438"/>
      <c r="H146" s="439"/>
      <c r="I146" s="440"/>
      <c r="J146" s="435"/>
      <c r="K146" s="436"/>
      <c r="L146" s="436"/>
      <c r="M146" s="441"/>
      <c r="N146" s="57"/>
      <c r="O146" s="57"/>
      <c r="P146" s="60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</row>
    <row r="147" spans="1:27" ht="16.5">
      <c r="A147" s="57"/>
      <c r="B147" s="61">
        <v>142</v>
      </c>
      <c r="C147" s="146"/>
      <c r="D147" s="435"/>
      <c r="E147" s="436"/>
      <c r="F147" s="437"/>
      <c r="G147" s="438"/>
      <c r="H147" s="439"/>
      <c r="I147" s="440"/>
      <c r="J147" s="435"/>
      <c r="K147" s="436"/>
      <c r="L147" s="436"/>
      <c r="M147" s="441"/>
      <c r="N147" s="57"/>
      <c r="O147" s="57"/>
      <c r="P147" s="60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</row>
    <row r="148" spans="1:27" ht="16.5">
      <c r="A148" s="57"/>
      <c r="B148" s="61">
        <v>143</v>
      </c>
      <c r="C148" s="146"/>
      <c r="D148" s="435"/>
      <c r="E148" s="436"/>
      <c r="F148" s="437"/>
      <c r="G148" s="438"/>
      <c r="H148" s="439"/>
      <c r="I148" s="440"/>
      <c r="J148" s="435"/>
      <c r="K148" s="436"/>
      <c r="L148" s="436"/>
      <c r="M148" s="441"/>
      <c r="N148" s="57"/>
      <c r="O148" s="57"/>
      <c r="P148" s="60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</row>
    <row r="149" spans="1:27" ht="16.5">
      <c r="A149" s="57"/>
      <c r="B149" s="61">
        <v>144</v>
      </c>
      <c r="C149" s="146"/>
      <c r="D149" s="435"/>
      <c r="E149" s="436"/>
      <c r="F149" s="437"/>
      <c r="G149" s="438"/>
      <c r="H149" s="439"/>
      <c r="I149" s="440"/>
      <c r="J149" s="435"/>
      <c r="K149" s="436"/>
      <c r="L149" s="436"/>
      <c r="M149" s="441"/>
      <c r="N149" s="57"/>
      <c r="O149" s="57"/>
      <c r="P149" s="60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</row>
    <row r="150" spans="1:27" ht="16.5">
      <c r="A150" s="57"/>
      <c r="B150" s="61">
        <v>145</v>
      </c>
      <c r="C150" s="146"/>
      <c r="D150" s="435"/>
      <c r="E150" s="436"/>
      <c r="F150" s="437"/>
      <c r="G150" s="438"/>
      <c r="H150" s="439"/>
      <c r="I150" s="440"/>
      <c r="J150" s="435"/>
      <c r="K150" s="436"/>
      <c r="L150" s="436"/>
      <c r="M150" s="441"/>
      <c r="N150" s="57"/>
      <c r="O150" s="57"/>
      <c r="P150" s="60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</row>
    <row r="151" spans="1:27" ht="16.5">
      <c r="A151" s="57"/>
      <c r="B151" s="61">
        <v>146</v>
      </c>
      <c r="C151" s="146"/>
      <c r="D151" s="435"/>
      <c r="E151" s="436"/>
      <c r="F151" s="437"/>
      <c r="G151" s="438"/>
      <c r="H151" s="439"/>
      <c r="I151" s="440"/>
      <c r="J151" s="435"/>
      <c r="K151" s="436"/>
      <c r="L151" s="436"/>
      <c r="M151" s="441"/>
      <c r="N151" s="57"/>
      <c r="O151" s="57"/>
      <c r="P151" s="60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</row>
    <row r="152" spans="1:27" ht="16.5">
      <c r="A152" s="57"/>
      <c r="B152" s="61">
        <v>147</v>
      </c>
      <c r="C152" s="146"/>
      <c r="D152" s="435"/>
      <c r="E152" s="436"/>
      <c r="F152" s="437"/>
      <c r="G152" s="438"/>
      <c r="H152" s="439"/>
      <c r="I152" s="440"/>
      <c r="J152" s="435"/>
      <c r="K152" s="436"/>
      <c r="L152" s="436"/>
      <c r="M152" s="441"/>
      <c r="N152" s="57"/>
      <c r="O152" s="57"/>
      <c r="P152" s="60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</row>
    <row r="153" spans="1:27" ht="16.5">
      <c r="A153" s="57"/>
      <c r="B153" s="61">
        <v>148</v>
      </c>
      <c r="C153" s="146"/>
      <c r="D153" s="435"/>
      <c r="E153" s="436"/>
      <c r="F153" s="437"/>
      <c r="G153" s="438"/>
      <c r="H153" s="439"/>
      <c r="I153" s="440"/>
      <c r="J153" s="435"/>
      <c r="K153" s="436"/>
      <c r="L153" s="436"/>
      <c r="M153" s="441"/>
      <c r="N153" s="57"/>
      <c r="O153" s="57"/>
      <c r="P153" s="60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</row>
    <row r="154" spans="1:27" ht="16.5">
      <c r="A154" s="57"/>
      <c r="B154" s="61">
        <v>149</v>
      </c>
      <c r="C154" s="146"/>
      <c r="D154" s="435"/>
      <c r="E154" s="436"/>
      <c r="F154" s="437"/>
      <c r="G154" s="438"/>
      <c r="H154" s="439"/>
      <c r="I154" s="440"/>
      <c r="J154" s="435"/>
      <c r="K154" s="436"/>
      <c r="L154" s="436"/>
      <c r="M154" s="441"/>
      <c r="N154" s="57"/>
      <c r="O154" s="57"/>
      <c r="P154" s="60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</row>
    <row r="155" spans="1:27" ht="16.5">
      <c r="A155" s="57"/>
      <c r="B155" s="61">
        <v>150</v>
      </c>
      <c r="C155" s="146"/>
      <c r="D155" s="435"/>
      <c r="E155" s="436"/>
      <c r="F155" s="437"/>
      <c r="G155" s="438"/>
      <c r="H155" s="439"/>
      <c r="I155" s="440"/>
      <c r="J155" s="435"/>
      <c r="K155" s="436"/>
      <c r="L155" s="436"/>
      <c r="M155" s="441"/>
      <c r="N155" s="57"/>
      <c r="O155" s="57"/>
      <c r="P155" s="60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</row>
    <row r="156" spans="1:27" ht="16.5">
      <c r="A156" s="57"/>
      <c r="B156" s="61">
        <v>151</v>
      </c>
      <c r="C156" s="146"/>
      <c r="D156" s="435"/>
      <c r="E156" s="436"/>
      <c r="F156" s="437"/>
      <c r="G156" s="438"/>
      <c r="H156" s="439"/>
      <c r="I156" s="440"/>
      <c r="J156" s="435"/>
      <c r="K156" s="436"/>
      <c r="L156" s="436"/>
      <c r="M156" s="441"/>
      <c r="N156" s="57"/>
      <c r="O156" s="57"/>
      <c r="P156" s="60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</row>
    <row r="157" spans="1:27" ht="16.5">
      <c r="A157" s="57"/>
      <c r="B157" s="61">
        <v>152</v>
      </c>
      <c r="C157" s="146"/>
      <c r="D157" s="435"/>
      <c r="E157" s="436"/>
      <c r="F157" s="437"/>
      <c r="G157" s="438"/>
      <c r="H157" s="439"/>
      <c r="I157" s="440"/>
      <c r="J157" s="435"/>
      <c r="K157" s="436"/>
      <c r="L157" s="436"/>
      <c r="M157" s="441"/>
      <c r="N157" s="57"/>
      <c r="O157" s="57"/>
      <c r="P157" s="60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</row>
    <row r="158" spans="1:27" ht="16.5">
      <c r="A158" s="57"/>
      <c r="B158" s="61">
        <v>153</v>
      </c>
      <c r="C158" s="146"/>
      <c r="D158" s="435"/>
      <c r="E158" s="436"/>
      <c r="F158" s="437"/>
      <c r="G158" s="438"/>
      <c r="H158" s="439"/>
      <c r="I158" s="440"/>
      <c r="J158" s="435"/>
      <c r="K158" s="436"/>
      <c r="L158" s="436"/>
      <c r="M158" s="441"/>
      <c r="N158" s="57"/>
      <c r="O158" s="57"/>
      <c r="P158" s="60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</row>
    <row r="159" spans="1:27" ht="16.5">
      <c r="A159" s="57"/>
      <c r="B159" s="61">
        <v>154</v>
      </c>
      <c r="C159" s="146"/>
      <c r="D159" s="435"/>
      <c r="E159" s="436"/>
      <c r="F159" s="437"/>
      <c r="G159" s="438"/>
      <c r="H159" s="439"/>
      <c r="I159" s="440"/>
      <c r="J159" s="435"/>
      <c r="K159" s="436"/>
      <c r="L159" s="436"/>
      <c r="M159" s="441"/>
      <c r="N159" s="57"/>
      <c r="O159" s="57"/>
      <c r="P159" s="60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</row>
    <row r="160" spans="1:27" ht="16.5">
      <c r="A160" s="57"/>
      <c r="B160" s="61">
        <v>155</v>
      </c>
      <c r="C160" s="146"/>
      <c r="D160" s="435"/>
      <c r="E160" s="436"/>
      <c r="F160" s="437"/>
      <c r="G160" s="438"/>
      <c r="H160" s="439"/>
      <c r="I160" s="440"/>
      <c r="J160" s="435"/>
      <c r="K160" s="436"/>
      <c r="L160" s="436"/>
      <c r="M160" s="441"/>
      <c r="N160" s="57"/>
      <c r="O160" s="57"/>
      <c r="P160" s="60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</row>
    <row r="161" spans="1:27" ht="16.5">
      <c r="A161" s="57"/>
      <c r="B161" s="61">
        <v>156</v>
      </c>
      <c r="C161" s="146"/>
      <c r="D161" s="435"/>
      <c r="E161" s="436"/>
      <c r="F161" s="437"/>
      <c r="G161" s="438"/>
      <c r="H161" s="439"/>
      <c r="I161" s="440"/>
      <c r="J161" s="435"/>
      <c r="K161" s="436"/>
      <c r="L161" s="436"/>
      <c r="M161" s="441"/>
      <c r="N161" s="57"/>
      <c r="O161" s="57"/>
      <c r="P161" s="60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</row>
    <row r="162" spans="1:27" ht="16.5">
      <c r="A162" s="57"/>
      <c r="B162" s="61">
        <v>157</v>
      </c>
      <c r="C162" s="146"/>
      <c r="D162" s="435"/>
      <c r="E162" s="436"/>
      <c r="F162" s="437"/>
      <c r="G162" s="438"/>
      <c r="H162" s="439"/>
      <c r="I162" s="440"/>
      <c r="J162" s="435"/>
      <c r="K162" s="436"/>
      <c r="L162" s="436"/>
      <c r="M162" s="441"/>
      <c r="N162" s="57"/>
      <c r="O162" s="57"/>
      <c r="P162" s="60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</row>
    <row r="163" spans="1:27" ht="16.5">
      <c r="A163" s="57"/>
      <c r="B163" s="61">
        <v>158</v>
      </c>
      <c r="C163" s="146"/>
      <c r="D163" s="435"/>
      <c r="E163" s="436"/>
      <c r="F163" s="437"/>
      <c r="G163" s="438"/>
      <c r="H163" s="439"/>
      <c r="I163" s="440"/>
      <c r="J163" s="435"/>
      <c r="K163" s="436"/>
      <c r="L163" s="436"/>
      <c r="M163" s="441"/>
      <c r="N163" s="57"/>
      <c r="O163" s="57"/>
      <c r="P163" s="60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</row>
    <row r="164" spans="1:27" ht="16.5">
      <c r="A164" s="57"/>
      <c r="B164" s="61">
        <v>159</v>
      </c>
      <c r="C164" s="146"/>
      <c r="D164" s="435"/>
      <c r="E164" s="436"/>
      <c r="F164" s="437"/>
      <c r="G164" s="438"/>
      <c r="H164" s="439"/>
      <c r="I164" s="440"/>
      <c r="J164" s="435"/>
      <c r="K164" s="436"/>
      <c r="L164" s="436"/>
      <c r="M164" s="441"/>
      <c r="N164" s="57"/>
      <c r="O164" s="57"/>
      <c r="P164" s="60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</row>
    <row r="165" spans="1:27" ht="16.5">
      <c r="A165" s="57"/>
      <c r="B165" s="61">
        <v>160</v>
      </c>
      <c r="C165" s="146"/>
      <c r="D165" s="435"/>
      <c r="E165" s="436"/>
      <c r="F165" s="437"/>
      <c r="G165" s="438"/>
      <c r="H165" s="439"/>
      <c r="I165" s="440"/>
      <c r="J165" s="435"/>
      <c r="K165" s="436"/>
      <c r="L165" s="436"/>
      <c r="M165" s="441"/>
      <c r="N165" s="57"/>
      <c r="O165" s="57"/>
      <c r="P165" s="60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</row>
    <row r="166" spans="1:27" ht="16.5">
      <c r="A166" s="57"/>
      <c r="B166" s="61">
        <v>161</v>
      </c>
      <c r="C166" s="146"/>
      <c r="D166" s="435"/>
      <c r="E166" s="436"/>
      <c r="F166" s="437"/>
      <c r="G166" s="438"/>
      <c r="H166" s="439"/>
      <c r="I166" s="440"/>
      <c r="J166" s="435"/>
      <c r="K166" s="436"/>
      <c r="L166" s="436"/>
      <c r="M166" s="441"/>
      <c r="N166" s="57"/>
      <c r="O166" s="57"/>
      <c r="P166" s="60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</row>
    <row r="167" spans="1:27" ht="16.5">
      <c r="A167" s="57"/>
      <c r="B167" s="61">
        <v>162</v>
      </c>
      <c r="C167" s="146"/>
      <c r="D167" s="435"/>
      <c r="E167" s="436"/>
      <c r="F167" s="437"/>
      <c r="G167" s="438"/>
      <c r="H167" s="439"/>
      <c r="I167" s="440"/>
      <c r="J167" s="435"/>
      <c r="K167" s="436"/>
      <c r="L167" s="436"/>
      <c r="M167" s="441"/>
      <c r="N167" s="57"/>
      <c r="O167" s="57"/>
      <c r="P167" s="60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</row>
    <row r="168" spans="1:27" ht="16.5">
      <c r="A168" s="57"/>
      <c r="B168" s="61">
        <v>163</v>
      </c>
      <c r="C168" s="146"/>
      <c r="D168" s="435"/>
      <c r="E168" s="436"/>
      <c r="F168" s="437"/>
      <c r="G168" s="438"/>
      <c r="H168" s="439"/>
      <c r="I168" s="440"/>
      <c r="J168" s="435"/>
      <c r="K168" s="436"/>
      <c r="L168" s="436"/>
      <c r="M168" s="441"/>
      <c r="N168" s="57"/>
      <c r="O168" s="57"/>
      <c r="P168" s="60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</row>
    <row r="169" spans="1:27" ht="16.5">
      <c r="A169" s="57"/>
      <c r="B169" s="61">
        <v>164</v>
      </c>
      <c r="C169" s="146"/>
      <c r="D169" s="435"/>
      <c r="E169" s="436"/>
      <c r="F169" s="437"/>
      <c r="G169" s="438"/>
      <c r="H169" s="439"/>
      <c r="I169" s="440"/>
      <c r="J169" s="435"/>
      <c r="K169" s="436"/>
      <c r="L169" s="436"/>
      <c r="M169" s="441"/>
      <c r="N169" s="57"/>
      <c r="O169" s="57"/>
      <c r="P169" s="60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</row>
    <row r="170" spans="1:27" ht="16.5">
      <c r="A170" s="57"/>
      <c r="B170" s="61">
        <v>165</v>
      </c>
      <c r="C170" s="146"/>
      <c r="D170" s="435"/>
      <c r="E170" s="436"/>
      <c r="F170" s="437"/>
      <c r="G170" s="438"/>
      <c r="H170" s="439"/>
      <c r="I170" s="440"/>
      <c r="J170" s="435"/>
      <c r="K170" s="436"/>
      <c r="L170" s="436"/>
      <c r="M170" s="441"/>
      <c r="N170" s="57"/>
      <c r="O170" s="57"/>
      <c r="P170" s="60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</row>
    <row r="171" spans="1:27" ht="16.5">
      <c r="A171" s="57"/>
      <c r="B171" s="61">
        <v>166</v>
      </c>
      <c r="C171" s="146"/>
      <c r="D171" s="435"/>
      <c r="E171" s="436"/>
      <c r="F171" s="437"/>
      <c r="G171" s="438"/>
      <c r="H171" s="439"/>
      <c r="I171" s="440"/>
      <c r="J171" s="435"/>
      <c r="K171" s="436"/>
      <c r="L171" s="436"/>
      <c r="M171" s="441"/>
      <c r="N171" s="57"/>
      <c r="O171" s="57"/>
      <c r="P171" s="60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</row>
    <row r="172" spans="1:27" ht="16.5">
      <c r="A172" s="57"/>
      <c r="B172" s="61">
        <v>167</v>
      </c>
      <c r="C172" s="146"/>
      <c r="D172" s="435"/>
      <c r="E172" s="436"/>
      <c r="F172" s="437"/>
      <c r="G172" s="438"/>
      <c r="H172" s="439"/>
      <c r="I172" s="440"/>
      <c r="J172" s="435"/>
      <c r="K172" s="436"/>
      <c r="L172" s="436"/>
      <c r="M172" s="441"/>
      <c r="N172" s="57"/>
      <c r="O172" s="57"/>
      <c r="P172" s="60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</row>
    <row r="173" spans="1:27" ht="16.5">
      <c r="A173" s="57"/>
      <c r="B173" s="61">
        <v>168</v>
      </c>
      <c r="C173" s="146"/>
      <c r="D173" s="435"/>
      <c r="E173" s="436"/>
      <c r="F173" s="437"/>
      <c r="G173" s="438"/>
      <c r="H173" s="439"/>
      <c r="I173" s="440"/>
      <c r="J173" s="435"/>
      <c r="K173" s="436"/>
      <c r="L173" s="436"/>
      <c r="M173" s="441"/>
      <c r="N173" s="57"/>
      <c r="O173" s="57"/>
      <c r="P173" s="60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</row>
    <row r="174" spans="1:27" ht="16.5">
      <c r="A174" s="57"/>
      <c r="B174" s="61">
        <v>169</v>
      </c>
      <c r="C174" s="146"/>
      <c r="D174" s="435"/>
      <c r="E174" s="436"/>
      <c r="F174" s="437"/>
      <c r="G174" s="438"/>
      <c r="H174" s="439"/>
      <c r="I174" s="440"/>
      <c r="J174" s="435"/>
      <c r="K174" s="436"/>
      <c r="L174" s="436"/>
      <c r="M174" s="441"/>
      <c r="N174" s="57"/>
      <c r="O174" s="57"/>
      <c r="P174" s="60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</row>
    <row r="175" spans="1:27" ht="16.5">
      <c r="A175" s="57"/>
      <c r="B175" s="61">
        <v>170</v>
      </c>
      <c r="C175" s="146"/>
      <c r="D175" s="435"/>
      <c r="E175" s="436"/>
      <c r="F175" s="437"/>
      <c r="G175" s="438"/>
      <c r="H175" s="439"/>
      <c r="I175" s="440"/>
      <c r="J175" s="435"/>
      <c r="K175" s="436"/>
      <c r="L175" s="436"/>
      <c r="M175" s="441"/>
      <c r="N175" s="57"/>
      <c r="O175" s="57"/>
      <c r="P175" s="60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</row>
    <row r="176" spans="1:27" ht="16.5">
      <c r="A176" s="57"/>
      <c r="B176" s="61">
        <v>171</v>
      </c>
      <c r="C176" s="146"/>
      <c r="D176" s="435"/>
      <c r="E176" s="436"/>
      <c r="F176" s="437"/>
      <c r="G176" s="438"/>
      <c r="H176" s="439"/>
      <c r="I176" s="440"/>
      <c r="J176" s="435"/>
      <c r="K176" s="436"/>
      <c r="L176" s="436"/>
      <c r="M176" s="441"/>
      <c r="N176" s="57"/>
      <c r="O176" s="57"/>
      <c r="P176" s="60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</row>
    <row r="177" spans="1:27" ht="16.5">
      <c r="A177" s="57"/>
      <c r="B177" s="61">
        <v>172</v>
      </c>
      <c r="C177" s="146"/>
      <c r="D177" s="435"/>
      <c r="E177" s="436"/>
      <c r="F177" s="437"/>
      <c r="G177" s="438"/>
      <c r="H177" s="439"/>
      <c r="I177" s="440"/>
      <c r="J177" s="435"/>
      <c r="K177" s="436"/>
      <c r="L177" s="436"/>
      <c r="M177" s="441"/>
      <c r="N177" s="57"/>
      <c r="O177" s="57"/>
      <c r="P177" s="60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</row>
    <row r="178" spans="1:27" ht="16.5">
      <c r="A178" s="57"/>
      <c r="B178" s="61">
        <v>173</v>
      </c>
      <c r="C178" s="146"/>
      <c r="D178" s="435"/>
      <c r="E178" s="436"/>
      <c r="F178" s="437"/>
      <c r="G178" s="438"/>
      <c r="H178" s="439"/>
      <c r="I178" s="440"/>
      <c r="J178" s="435"/>
      <c r="K178" s="436"/>
      <c r="L178" s="436"/>
      <c r="M178" s="441"/>
      <c r="N178" s="57"/>
      <c r="O178" s="57"/>
      <c r="P178" s="60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</row>
    <row r="179" spans="1:27" ht="16.5">
      <c r="A179" s="57"/>
      <c r="B179" s="61">
        <v>174</v>
      </c>
      <c r="C179" s="146"/>
      <c r="D179" s="435"/>
      <c r="E179" s="436"/>
      <c r="F179" s="437"/>
      <c r="G179" s="438"/>
      <c r="H179" s="439"/>
      <c r="I179" s="440"/>
      <c r="J179" s="435"/>
      <c r="K179" s="436"/>
      <c r="L179" s="436"/>
      <c r="M179" s="441"/>
      <c r="N179" s="57"/>
      <c r="O179" s="57"/>
      <c r="P179" s="60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</row>
    <row r="180" spans="1:27" ht="16.5">
      <c r="A180" s="57"/>
      <c r="B180" s="61">
        <v>175</v>
      </c>
      <c r="C180" s="146"/>
      <c r="D180" s="435"/>
      <c r="E180" s="436"/>
      <c r="F180" s="437"/>
      <c r="G180" s="438"/>
      <c r="H180" s="439"/>
      <c r="I180" s="440"/>
      <c r="J180" s="435"/>
      <c r="K180" s="436"/>
      <c r="L180" s="436"/>
      <c r="M180" s="441"/>
      <c r="N180" s="57"/>
      <c r="O180" s="57"/>
      <c r="P180" s="60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</row>
    <row r="181" spans="1:27" ht="16.5">
      <c r="A181" s="57"/>
      <c r="B181" s="61">
        <v>176</v>
      </c>
      <c r="C181" s="146"/>
      <c r="D181" s="435"/>
      <c r="E181" s="436"/>
      <c r="F181" s="437"/>
      <c r="G181" s="438"/>
      <c r="H181" s="439"/>
      <c r="I181" s="440"/>
      <c r="J181" s="435"/>
      <c r="K181" s="436"/>
      <c r="L181" s="436"/>
      <c r="M181" s="441"/>
      <c r="N181" s="57"/>
      <c r="O181" s="57"/>
      <c r="P181" s="60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</row>
    <row r="182" spans="1:27" ht="16.5">
      <c r="A182" s="57"/>
      <c r="B182" s="61">
        <v>177</v>
      </c>
      <c r="C182" s="146"/>
      <c r="D182" s="435"/>
      <c r="E182" s="436"/>
      <c r="F182" s="437"/>
      <c r="G182" s="438"/>
      <c r="H182" s="439"/>
      <c r="I182" s="440"/>
      <c r="J182" s="435"/>
      <c r="K182" s="436"/>
      <c r="L182" s="436"/>
      <c r="M182" s="441"/>
      <c r="N182" s="57"/>
      <c r="O182" s="57"/>
      <c r="P182" s="60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</row>
    <row r="183" spans="1:27" ht="16.5">
      <c r="A183" s="57"/>
      <c r="B183" s="61">
        <v>178</v>
      </c>
      <c r="C183" s="146"/>
      <c r="D183" s="435"/>
      <c r="E183" s="436"/>
      <c r="F183" s="437"/>
      <c r="G183" s="438"/>
      <c r="H183" s="439"/>
      <c r="I183" s="440"/>
      <c r="J183" s="435"/>
      <c r="K183" s="436"/>
      <c r="L183" s="436"/>
      <c r="M183" s="441"/>
      <c r="N183" s="57"/>
      <c r="O183" s="57"/>
      <c r="P183" s="60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</row>
    <row r="184" spans="1:27" ht="16.5">
      <c r="A184" s="57"/>
      <c r="B184" s="61">
        <v>179</v>
      </c>
      <c r="C184" s="146"/>
      <c r="D184" s="435"/>
      <c r="E184" s="436"/>
      <c r="F184" s="437"/>
      <c r="G184" s="438"/>
      <c r="H184" s="439"/>
      <c r="I184" s="440"/>
      <c r="J184" s="435"/>
      <c r="K184" s="436"/>
      <c r="L184" s="436"/>
      <c r="M184" s="441"/>
      <c r="N184" s="57"/>
      <c r="O184" s="57"/>
      <c r="P184" s="60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</row>
    <row r="185" spans="1:27" ht="16.5">
      <c r="A185" s="57"/>
      <c r="B185" s="61">
        <v>180</v>
      </c>
      <c r="C185" s="146"/>
      <c r="D185" s="435"/>
      <c r="E185" s="436"/>
      <c r="F185" s="437"/>
      <c r="G185" s="438"/>
      <c r="H185" s="439"/>
      <c r="I185" s="440"/>
      <c r="J185" s="435"/>
      <c r="K185" s="436"/>
      <c r="L185" s="436"/>
      <c r="M185" s="441"/>
      <c r="N185" s="57"/>
      <c r="O185" s="57"/>
      <c r="P185" s="60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</row>
    <row r="186" spans="1:27" ht="16.5">
      <c r="A186" s="57"/>
      <c r="B186" s="61">
        <v>181</v>
      </c>
      <c r="C186" s="146"/>
      <c r="D186" s="435"/>
      <c r="E186" s="436"/>
      <c r="F186" s="437"/>
      <c r="G186" s="438"/>
      <c r="H186" s="439"/>
      <c r="I186" s="440"/>
      <c r="J186" s="435"/>
      <c r="K186" s="436"/>
      <c r="L186" s="436"/>
      <c r="M186" s="441"/>
      <c r="N186" s="57"/>
      <c r="O186" s="57"/>
      <c r="P186" s="60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</row>
    <row r="187" spans="1:27" ht="16.5">
      <c r="A187" s="57"/>
      <c r="B187" s="61">
        <v>182</v>
      </c>
      <c r="C187" s="146"/>
      <c r="D187" s="435"/>
      <c r="E187" s="436"/>
      <c r="F187" s="437"/>
      <c r="G187" s="438"/>
      <c r="H187" s="439"/>
      <c r="I187" s="440"/>
      <c r="J187" s="435"/>
      <c r="K187" s="436"/>
      <c r="L187" s="436"/>
      <c r="M187" s="441"/>
      <c r="N187" s="57"/>
      <c r="O187" s="57"/>
      <c r="P187" s="60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</row>
    <row r="188" spans="1:27" ht="16.5">
      <c r="A188" s="57"/>
      <c r="B188" s="61">
        <v>183</v>
      </c>
      <c r="C188" s="146"/>
      <c r="D188" s="435"/>
      <c r="E188" s="436"/>
      <c r="F188" s="437"/>
      <c r="G188" s="438"/>
      <c r="H188" s="439"/>
      <c r="I188" s="440"/>
      <c r="J188" s="435"/>
      <c r="K188" s="436"/>
      <c r="L188" s="436"/>
      <c r="M188" s="441"/>
      <c r="N188" s="57"/>
      <c r="O188" s="57"/>
      <c r="P188" s="60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</row>
    <row r="189" spans="1:27" ht="16.5">
      <c r="A189" s="57"/>
      <c r="B189" s="61">
        <v>184</v>
      </c>
      <c r="C189" s="146"/>
      <c r="D189" s="435"/>
      <c r="E189" s="436"/>
      <c r="F189" s="437"/>
      <c r="G189" s="438"/>
      <c r="H189" s="439"/>
      <c r="I189" s="440"/>
      <c r="J189" s="435"/>
      <c r="K189" s="436"/>
      <c r="L189" s="436"/>
      <c r="M189" s="441"/>
      <c r="N189" s="57"/>
      <c r="O189" s="57"/>
      <c r="P189" s="60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</row>
    <row r="190" spans="1:27" ht="16.5">
      <c r="A190" s="57"/>
      <c r="B190" s="61">
        <v>185</v>
      </c>
      <c r="C190" s="146"/>
      <c r="D190" s="435"/>
      <c r="E190" s="436"/>
      <c r="F190" s="437"/>
      <c r="G190" s="438"/>
      <c r="H190" s="439"/>
      <c r="I190" s="440"/>
      <c r="J190" s="435"/>
      <c r="K190" s="436"/>
      <c r="L190" s="436"/>
      <c r="M190" s="441"/>
      <c r="N190" s="57"/>
      <c r="O190" s="57"/>
      <c r="P190" s="60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</row>
    <row r="191" spans="1:27" ht="16.5">
      <c r="A191" s="57"/>
      <c r="B191" s="61">
        <v>186</v>
      </c>
      <c r="C191" s="146"/>
      <c r="D191" s="435"/>
      <c r="E191" s="436"/>
      <c r="F191" s="437"/>
      <c r="G191" s="438"/>
      <c r="H191" s="439"/>
      <c r="I191" s="440"/>
      <c r="J191" s="435"/>
      <c r="K191" s="436"/>
      <c r="L191" s="436"/>
      <c r="M191" s="441"/>
      <c r="N191" s="57"/>
      <c r="O191" s="57"/>
      <c r="P191" s="60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</row>
    <row r="192" spans="1:27" ht="16.5">
      <c r="A192" s="57"/>
      <c r="B192" s="61">
        <v>187</v>
      </c>
      <c r="C192" s="146"/>
      <c r="D192" s="435"/>
      <c r="E192" s="436"/>
      <c r="F192" s="437"/>
      <c r="G192" s="438"/>
      <c r="H192" s="439"/>
      <c r="I192" s="440"/>
      <c r="J192" s="435"/>
      <c r="K192" s="436"/>
      <c r="L192" s="436"/>
      <c r="M192" s="441"/>
      <c r="N192" s="57"/>
      <c r="O192" s="57"/>
      <c r="P192" s="60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</row>
    <row r="193" spans="1:27" ht="16.5">
      <c r="A193" s="57"/>
      <c r="B193" s="61">
        <v>188</v>
      </c>
      <c r="C193" s="146"/>
      <c r="D193" s="435"/>
      <c r="E193" s="436"/>
      <c r="F193" s="437"/>
      <c r="G193" s="438"/>
      <c r="H193" s="439"/>
      <c r="I193" s="440"/>
      <c r="J193" s="435"/>
      <c r="K193" s="436"/>
      <c r="L193" s="436"/>
      <c r="M193" s="441"/>
      <c r="N193" s="57"/>
      <c r="O193" s="57"/>
      <c r="P193" s="60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</row>
    <row r="194" spans="1:27" ht="16.5">
      <c r="A194" s="57"/>
      <c r="B194" s="61">
        <v>189</v>
      </c>
      <c r="C194" s="146"/>
      <c r="D194" s="435"/>
      <c r="E194" s="436"/>
      <c r="F194" s="437"/>
      <c r="G194" s="438"/>
      <c r="H194" s="439"/>
      <c r="I194" s="440"/>
      <c r="J194" s="435"/>
      <c r="K194" s="436"/>
      <c r="L194" s="436"/>
      <c r="M194" s="441"/>
      <c r="N194" s="57"/>
      <c r="O194" s="57"/>
      <c r="P194" s="60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</row>
    <row r="195" spans="1:27" ht="16.5">
      <c r="A195" s="57"/>
      <c r="B195" s="61">
        <v>190</v>
      </c>
      <c r="C195" s="146"/>
      <c r="D195" s="435"/>
      <c r="E195" s="436"/>
      <c r="F195" s="437"/>
      <c r="G195" s="438"/>
      <c r="H195" s="439"/>
      <c r="I195" s="440"/>
      <c r="J195" s="435"/>
      <c r="K195" s="436"/>
      <c r="L195" s="436"/>
      <c r="M195" s="441"/>
      <c r="N195" s="57"/>
      <c r="O195" s="57"/>
      <c r="P195" s="60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</row>
    <row r="196" spans="1:27" ht="16.5">
      <c r="A196" s="57"/>
      <c r="B196" s="61">
        <v>191</v>
      </c>
      <c r="C196" s="146"/>
      <c r="D196" s="435"/>
      <c r="E196" s="436"/>
      <c r="F196" s="437"/>
      <c r="G196" s="438"/>
      <c r="H196" s="439"/>
      <c r="I196" s="440"/>
      <c r="J196" s="435"/>
      <c r="K196" s="436"/>
      <c r="L196" s="436"/>
      <c r="M196" s="441"/>
      <c r="N196" s="57"/>
      <c r="O196" s="57"/>
      <c r="P196" s="60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</row>
    <row r="197" spans="1:27" ht="16.5">
      <c r="A197" s="57"/>
      <c r="B197" s="61">
        <v>192</v>
      </c>
      <c r="C197" s="146"/>
      <c r="D197" s="435"/>
      <c r="E197" s="436"/>
      <c r="F197" s="437"/>
      <c r="G197" s="438"/>
      <c r="H197" s="439"/>
      <c r="I197" s="440"/>
      <c r="J197" s="435"/>
      <c r="K197" s="436"/>
      <c r="L197" s="436"/>
      <c r="M197" s="441"/>
      <c r="N197" s="57"/>
      <c r="O197" s="57"/>
      <c r="P197" s="60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</row>
    <row r="198" spans="1:27" ht="16.5">
      <c r="A198" s="57"/>
      <c r="B198" s="61">
        <v>193</v>
      </c>
      <c r="C198" s="146"/>
      <c r="D198" s="435"/>
      <c r="E198" s="436"/>
      <c r="F198" s="437"/>
      <c r="G198" s="438"/>
      <c r="H198" s="439"/>
      <c r="I198" s="440"/>
      <c r="J198" s="435"/>
      <c r="K198" s="436"/>
      <c r="L198" s="436"/>
      <c r="M198" s="441"/>
      <c r="N198" s="57"/>
      <c r="O198" s="57"/>
      <c r="P198" s="60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</row>
    <row r="199" spans="1:27" ht="16.5">
      <c r="A199" s="57"/>
      <c r="B199" s="61">
        <v>194</v>
      </c>
      <c r="C199" s="146"/>
      <c r="D199" s="435"/>
      <c r="E199" s="436"/>
      <c r="F199" s="437"/>
      <c r="G199" s="438"/>
      <c r="H199" s="439"/>
      <c r="I199" s="440"/>
      <c r="J199" s="435"/>
      <c r="K199" s="436"/>
      <c r="L199" s="436"/>
      <c r="M199" s="441"/>
      <c r="N199" s="57"/>
      <c r="O199" s="57"/>
      <c r="P199" s="60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</row>
    <row r="200" spans="1:27" ht="16.5">
      <c r="A200" s="57"/>
      <c r="B200" s="61">
        <v>195</v>
      </c>
      <c r="C200" s="146"/>
      <c r="D200" s="435"/>
      <c r="E200" s="436"/>
      <c r="F200" s="437"/>
      <c r="G200" s="438"/>
      <c r="H200" s="439"/>
      <c r="I200" s="440"/>
      <c r="J200" s="435"/>
      <c r="K200" s="436"/>
      <c r="L200" s="436"/>
      <c r="M200" s="441"/>
      <c r="N200" s="57"/>
      <c r="O200" s="57"/>
      <c r="P200" s="60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</row>
    <row r="201" spans="1:27" ht="16.5">
      <c r="A201" s="57"/>
      <c r="B201" s="61">
        <v>196</v>
      </c>
      <c r="C201" s="146"/>
      <c r="D201" s="435"/>
      <c r="E201" s="436"/>
      <c r="F201" s="437"/>
      <c r="G201" s="438"/>
      <c r="H201" s="439"/>
      <c r="I201" s="440"/>
      <c r="J201" s="435"/>
      <c r="K201" s="436"/>
      <c r="L201" s="436"/>
      <c r="M201" s="441"/>
      <c r="N201" s="57"/>
      <c r="O201" s="57"/>
      <c r="P201" s="60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</row>
    <row r="202" spans="1:27" ht="16.5">
      <c r="A202" s="57"/>
      <c r="B202" s="61">
        <v>197</v>
      </c>
      <c r="C202" s="146"/>
      <c r="D202" s="435"/>
      <c r="E202" s="436"/>
      <c r="F202" s="437"/>
      <c r="G202" s="438"/>
      <c r="H202" s="439"/>
      <c r="I202" s="440"/>
      <c r="J202" s="435"/>
      <c r="K202" s="436"/>
      <c r="L202" s="436"/>
      <c r="M202" s="441"/>
      <c r="N202" s="57"/>
      <c r="O202" s="57"/>
      <c r="P202" s="60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</row>
    <row r="203" spans="1:27" ht="16.5">
      <c r="A203" s="57"/>
      <c r="B203" s="61">
        <v>198</v>
      </c>
      <c r="C203" s="146"/>
      <c r="D203" s="435"/>
      <c r="E203" s="436"/>
      <c r="F203" s="437"/>
      <c r="G203" s="438"/>
      <c r="H203" s="439"/>
      <c r="I203" s="440"/>
      <c r="J203" s="435"/>
      <c r="K203" s="436"/>
      <c r="L203" s="436"/>
      <c r="M203" s="441"/>
      <c r="N203" s="57"/>
      <c r="O203" s="57"/>
      <c r="P203" s="60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</row>
    <row r="204" spans="1:27" ht="16.5">
      <c r="A204" s="57"/>
      <c r="B204" s="61">
        <v>199</v>
      </c>
      <c r="C204" s="146"/>
      <c r="D204" s="435"/>
      <c r="E204" s="436"/>
      <c r="F204" s="437"/>
      <c r="G204" s="438"/>
      <c r="H204" s="439"/>
      <c r="I204" s="440"/>
      <c r="J204" s="435"/>
      <c r="K204" s="436"/>
      <c r="L204" s="436"/>
      <c r="M204" s="441"/>
      <c r="N204" s="57"/>
      <c r="O204" s="57"/>
      <c r="P204" s="60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</row>
    <row r="205" spans="1:27" ht="16.5">
      <c r="A205" s="57"/>
      <c r="B205" s="61">
        <v>200</v>
      </c>
      <c r="C205" s="146"/>
      <c r="D205" s="435"/>
      <c r="E205" s="436"/>
      <c r="F205" s="437"/>
      <c r="G205" s="438"/>
      <c r="H205" s="439"/>
      <c r="I205" s="440"/>
      <c r="J205" s="435"/>
      <c r="K205" s="436"/>
      <c r="L205" s="436"/>
      <c r="M205" s="441"/>
      <c r="N205" s="57"/>
      <c r="O205" s="57"/>
      <c r="P205" s="60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</row>
    <row r="206" spans="1:27" ht="16.5">
      <c r="A206" s="57"/>
      <c r="B206" s="61">
        <v>201</v>
      </c>
      <c r="C206" s="146"/>
      <c r="D206" s="435"/>
      <c r="E206" s="436"/>
      <c r="F206" s="437"/>
      <c r="G206" s="438"/>
      <c r="H206" s="439"/>
      <c r="I206" s="440"/>
      <c r="J206" s="435"/>
      <c r="K206" s="436"/>
      <c r="L206" s="436"/>
      <c r="M206" s="441"/>
      <c r="N206" s="57"/>
      <c r="O206" s="57"/>
      <c r="P206" s="60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</row>
    <row r="207" spans="1:27" ht="16.5">
      <c r="A207" s="57"/>
      <c r="B207" s="61">
        <v>202</v>
      </c>
      <c r="C207" s="146"/>
      <c r="D207" s="435"/>
      <c r="E207" s="436"/>
      <c r="F207" s="437"/>
      <c r="G207" s="438"/>
      <c r="H207" s="439"/>
      <c r="I207" s="440"/>
      <c r="J207" s="435"/>
      <c r="K207" s="436"/>
      <c r="L207" s="436"/>
      <c r="M207" s="441"/>
      <c r="N207" s="57"/>
      <c r="O207" s="57"/>
      <c r="P207" s="60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</row>
    <row r="208" spans="1:27" ht="16.5">
      <c r="A208" s="57"/>
      <c r="B208" s="61">
        <v>203</v>
      </c>
      <c r="C208" s="146"/>
      <c r="D208" s="435"/>
      <c r="E208" s="436"/>
      <c r="F208" s="437"/>
      <c r="G208" s="438"/>
      <c r="H208" s="439"/>
      <c r="I208" s="440"/>
      <c r="J208" s="435"/>
      <c r="K208" s="436"/>
      <c r="L208" s="436"/>
      <c r="M208" s="441"/>
      <c r="N208" s="57"/>
      <c r="O208" s="57"/>
      <c r="P208" s="60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</row>
    <row r="209" spans="1:27" ht="16.5">
      <c r="A209" s="57"/>
      <c r="B209" s="61">
        <v>204</v>
      </c>
      <c r="C209" s="146"/>
      <c r="D209" s="435"/>
      <c r="E209" s="436"/>
      <c r="F209" s="437"/>
      <c r="G209" s="438"/>
      <c r="H209" s="439"/>
      <c r="I209" s="440"/>
      <c r="J209" s="435"/>
      <c r="K209" s="436"/>
      <c r="L209" s="436"/>
      <c r="M209" s="441"/>
      <c r="N209" s="57"/>
      <c r="O209" s="57"/>
      <c r="P209" s="60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</row>
    <row r="210" spans="1:27" ht="16.5">
      <c r="A210" s="57"/>
      <c r="B210" s="61">
        <v>205</v>
      </c>
      <c r="C210" s="146"/>
      <c r="D210" s="435"/>
      <c r="E210" s="436"/>
      <c r="F210" s="437"/>
      <c r="G210" s="438"/>
      <c r="H210" s="439"/>
      <c r="I210" s="440"/>
      <c r="J210" s="435"/>
      <c r="K210" s="436"/>
      <c r="L210" s="436"/>
      <c r="M210" s="441"/>
      <c r="N210" s="57"/>
      <c r="O210" s="57"/>
      <c r="P210" s="60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</row>
    <row r="211" spans="1:27" ht="16.5">
      <c r="A211" s="57"/>
      <c r="B211" s="61">
        <v>206</v>
      </c>
      <c r="C211" s="146"/>
      <c r="D211" s="435"/>
      <c r="E211" s="436"/>
      <c r="F211" s="437"/>
      <c r="G211" s="438"/>
      <c r="H211" s="439"/>
      <c r="I211" s="440"/>
      <c r="J211" s="435"/>
      <c r="K211" s="436"/>
      <c r="L211" s="436"/>
      <c r="M211" s="441"/>
      <c r="N211" s="57"/>
      <c r="O211" s="57"/>
      <c r="P211" s="60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</row>
    <row r="212" spans="1:27" ht="16.5">
      <c r="A212" s="57"/>
      <c r="B212" s="61">
        <v>207</v>
      </c>
      <c r="C212" s="146"/>
      <c r="D212" s="435"/>
      <c r="E212" s="436"/>
      <c r="F212" s="437"/>
      <c r="G212" s="438"/>
      <c r="H212" s="439"/>
      <c r="I212" s="440"/>
      <c r="J212" s="435"/>
      <c r="K212" s="436"/>
      <c r="L212" s="436"/>
      <c r="M212" s="441"/>
      <c r="N212" s="57"/>
      <c r="O212" s="57"/>
      <c r="P212" s="60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</row>
    <row r="213" spans="1:27" ht="16.5">
      <c r="A213" s="57"/>
      <c r="B213" s="61">
        <v>208</v>
      </c>
      <c r="C213" s="146"/>
      <c r="D213" s="435"/>
      <c r="E213" s="436"/>
      <c r="F213" s="437"/>
      <c r="G213" s="438"/>
      <c r="H213" s="439"/>
      <c r="I213" s="440"/>
      <c r="J213" s="435"/>
      <c r="K213" s="436"/>
      <c r="L213" s="436"/>
      <c r="M213" s="441"/>
      <c r="N213" s="57"/>
      <c r="O213" s="57"/>
      <c r="P213" s="60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</row>
    <row r="214" spans="1:27" ht="16.5">
      <c r="A214" s="57"/>
      <c r="B214" s="61">
        <v>209</v>
      </c>
      <c r="C214" s="146"/>
      <c r="D214" s="435"/>
      <c r="E214" s="436"/>
      <c r="F214" s="437"/>
      <c r="G214" s="438"/>
      <c r="H214" s="439"/>
      <c r="I214" s="440"/>
      <c r="J214" s="435"/>
      <c r="K214" s="436"/>
      <c r="L214" s="436"/>
      <c r="M214" s="441"/>
      <c r="N214" s="57"/>
      <c r="O214" s="57"/>
      <c r="P214" s="60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</row>
    <row r="215" spans="1:27" ht="16.5">
      <c r="A215" s="57"/>
      <c r="B215" s="61">
        <v>210</v>
      </c>
      <c r="C215" s="146"/>
      <c r="D215" s="435"/>
      <c r="E215" s="436"/>
      <c r="F215" s="437"/>
      <c r="G215" s="438"/>
      <c r="H215" s="439"/>
      <c r="I215" s="440"/>
      <c r="J215" s="435"/>
      <c r="K215" s="436"/>
      <c r="L215" s="436"/>
      <c r="M215" s="441"/>
      <c r="N215" s="57"/>
      <c r="O215" s="57"/>
      <c r="P215" s="60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</row>
    <row r="216" spans="1:27" ht="16.5">
      <c r="A216" s="57"/>
      <c r="B216" s="61">
        <v>211</v>
      </c>
      <c r="C216" s="146"/>
      <c r="D216" s="435"/>
      <c r="E216" s="436"/>
      <c r="F216" s="437"/>
      <c r="G216" s="438"/>
      <c r="H216" s="439"/>
      <c r="I216" s="440"/>
      <c r="J216" s="435"/>
      <c r="K216" s="436"/>
      <c r="L216" s="436"/>
      <c r="M216" s="441"/>
      <c r="N216" s="57"/>
      <c r="O216" s="57"/>
      <c r="P216" s="60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</row>
    <row r="217" spans="1:27" ht="16.5">
      <c r="A217" s="57"/>
      <c r="B217" s="61">
        <v>212</v>
      </c>
      <c r="C217" s="146"/>
      <c r="D217" s="435"/>
      <c r="E217" s="436"/>
      <c r="F217" s="437"/>
      <c r="G217" s="438"/>
      <c r="H217" s="439"/>
      <c r="I217" s="440"/>
      <c r="J217" s="435"/>
      <c r="K217" s="436"/>
      <c r="L217" s="436"/>
      <c r="M217" s="441"/>
      <c r="N217" s="57"/>
      <c r="O217" s="57"/>
      <c r="P217" s="60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</row>
    <row r="218" spans="1:27" ht="16.5">
      <c r="A218" s="57"/>
      <c r="B218" s="61">
        <v>213</v>
      </c>
      <c r="C218" s="146"/>
      <c r="D218" s="435"/>
      <c r="E218" s="436"/>
      <c r="F218" s="437"/>
      <c r="G218" s="438"/>
      <c r="H218" s="439"/>
      <c r="I218" s="440"/>
      <c r="J218" s="435"/>
      <c r="K218" s="436"/>
      <c r="L218" s="436"/>
      <c r="M218" s="441"/>
      <c r="N218" s="57"/>
      <c r="O218" s="57"/>
      <c r="P218" s="60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</row>
    <row r="219" spans="1:27" ht="16.5">
      <c r="A219" s="57"/>
      <c r="B219" s="61">
        <v>214</v>
      </c>
      <c r="C219" s="146"/>
      <c r="D219" s="435"/>
      <c r="E219" s="436"/>
      <c r="F219" s="437"/>
      <c r="G219" s="438"/>
      <c r="H219" s="439"/>
      <c r="I219" s="440"/>
      <c r="J219" s="435"/>
      <c r="K219" s="436"/>
      <c r="L219" s="436"/>
      <c r="M219" s="441"/>
      <c r="N219" s="57"/>
      <c r="O219" s="57"/>
      <c r="P219" s="60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</row>
    <row r="220" spans="1:27" ht="16.5">
      <c r="A220" s="57"/>
      <c r="B220" s="61">
        <v>215</v>
      </c>
      <c r="C220" s="146"/>
      <c r="D220" s="435"/>
      <c r="E220" s="436"/>
      <c r="F220" s="437"/>
      <c r="G220" s="438"/>
      <c r="H220" s="439"/>
      <c r="I220" s="440"/>
      <c r="J220" s="435"/>
      <c r="K220" s="436"/>
      <c r="L220" s="436"/>
      <c r="M220" s="441"/>
      <c r="N220" s="57"/>
      <c r="O220" s="57"/>
      <c r="P220" s="60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</row>
    <row r="221" spans="1:27" ht="16.5">
      <c r="A221" s="57"/>
      <c r="B221" s="61">
        <v>216</v>
      </c>
      <c r="C221" s="146"/>
      <c r="D221" s="435"/>
      <c r="E221" s="436"/>
      <c r="F221" s="437"/>
      <c r="G221" s="438"/>
      <c r="H221" s="439"/>
      <c r="I221" s="440"/>
      <c r="J221" s="435"/>
      <c r="K221" s="436"/>
      <c r="L221" s="436"/>
      <c r="M221" s="441"/>
      <c r="N221" s="57"/>
      <c r="O221" s="57"/>
      <c r="P221" s="60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</row>
    <row r="222" spans="1:27" ht="16.5">
      <c r="A222" s="57"/>
      <c r="B222" s="61">
        <v>217</v>
      </c>
      <c r="C222" s="146"/>
      <c r="D222" s="435"/>
      <c r="E222" s="436"/>
      <c r="F222" s="437"/>
      <c r="G222" s="438"/>
      <c r="H222" s="439"/>
      <c r="I222" s="440"/>
      <c r="J222" s="435"/>
      <c r="K222" s="436"/>
      <c r="L222" s="436"/>
      <c r="M222" s="441"/>
      <c r="N222" s="57"/>
      <c r="O222" s="57"/>
      <c r="P222" s="60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</row>
    <row r="223" spans="1:27" ht="16.5">
      <c r="A223" s="57"/>
      <c r="B223" s="61">
        <v>218</v>
      </c>
      <c r="C223" s="146"/>
      <c r="D223" s="435"/>
      <c r="E223" s="436"/>
      <c r="F223" s="437"/>
      <c r="G223" s="438"/>
      <c r="H223" s="439"/>
      <c r="I223" s="440"/>
      <c r="J223" s="435"/>
      <c r="K223" s="436"/>
      <c r="L223" s="436"/>
      <c r="M223" s="441"/>
      <c r="N223" s="57"/>
      <c r="O223" s="57"/>
      <c r="P223" s="60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</row>
    <row r="224" spans="1:27" ht="16.5">
      <c r="A224" s="57"/>
      <c r="B224" s="61">
        <v>219</v>
      </c>
      <c r="C224" s="146"/>
      <c r="D224" s="435"/>
      <c r="E224" s="436"/>
      <c r="F224" s="437"/>
      <c r="G224" s="438"/>
      <c r="H224" s="439"/>
      <c r="I224" s="440"/>
      <c r="J224" s="435"/>
      <c r="K224" s="436"/>
      <c r="L224" s="436"/>
      <c r="M224" s="441"/>
      <c r="N224" s="57"/>
      <c r="O224" s="57"/>
      <c r="P224" s="60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</row>
    <row r="225" spans="1:27" ht="16.5">
      <c r="A225" s="57"/>
      <c r="B225" s="61">
        <v>220</v>
      </c>
      <c r="C225" s="146"/>
      <c r="D225" s="435"/>
      <c r="E225" s="436"/>
      <c r="F225" s="437"/>
      <c r="G225" s="438"/>
      <c r="H225" s="439"/>
      <c r="I225" s="440"/>
      <c r="J225" s="435"/>
      <c r="K225" s="436"/>
      <c r="L225" s="436"/>
      <c r="M225" s="441"/>
      <c r="N225" s="57"/>
      <c r="O225" s="57"/>
      <c r="P225" s="60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</row>
    <row r="226" spans="1:27" ht="16.5">
      <c r="A226" s="57"/>
      <c r="B226" s="61">
        <v>221</v>
      </c>
      <c r="C226" s="146"/>
      <c r="D226" s="435"/>
      <c r="E226" s="436"/>
      <c r="F226" s="437"/>
      <c r="G226" s="438"/>
      <c r="H226" s="439"/>
      <c r="I226" s="440"/>
      <c r="J226" s="435"/>
      <c r="K226" s="436"/>
      <c r="L226" s="436"/>
      <c r="M226" s="441"/>
      <c r="N226" s="57"/>
      <c r="O226" s="57"/>
      <c r="P226" s="60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</row>
    <row r="227" spans="1:27" ht="16.5">
      <c r="A227" s="57"/>
      <c r="B227" s="61">
        <v>222</v>
      </c>
      <c r="C227" s="146"/>
      <c r="D227" s="435"/>
      <c r="E227" s="436"/>
      <c r="F227" s="437"/>
      <c r="G227" s="438"/>
      <c r="H227" s="439"/>
      <c r="I227" s="440"/>
      <c r="J227" s="435"/>
      <c r="K227" s="436"/>
      <c r="L227" s="436"/>
      <c r="M227" s="441"/>
      <c r="N227" s="57"/>
      <c r="O227" s="57"/>
      <c r="P227" s="60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</row>
    <row r="228" spans="1:27" ht="16.5">
      <c r="A228" s="57"/>
      <c r="B228" s="61">
        <v>223</v>
      </c>
      <c r="C228" s="146"/>
      <c r="D228" s="435"/>
      <c r="E228" s="436"/>
      <c r="F228" s="437"/>
      <c r="G228" s="438"/>
      <c r="H228" s="439"/>
      <c r="I228" s="440"/>
      <c r="J228" s="435"/>
      <c r="K228" s="436"/>
      <c r="L228" s="436"/>
      <c r="M228" s="441"/>
      <c r="N228" s="57"/>
      <c r="O228" s="57"/>
      <c r="P228" s="60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</row>
    <row r="229" spans="1:27" ht="16.5">
      <c r="A229" s="57"/>
      <c r="B229" s="61">
        <v>224</v>
      </c>
      <c r="C229" s="146"/>
      <c r="D229" s="435"/>
      <c r="E229" s="436"/>
      <c r="F229" s="437"/>
      <c r="G229" s="438"/>
      <c r="H229" s="439"/>
      <c r="I229" s="440"/>
      <c r="J229" s="435"/>
      <c r="K229" s="436"/>
      <c r="L229" s="436"/>
      <c r="M229" s="441"/>
      <c r="N229" s="57"/>
      <c r="O229" s="57"/>
      <c r="P229" s="60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</row>
    <row r="230" spans="1:27" ht="16.5">
      <c r="A230" s="57"/>
      <c r="B230" s="61">
        <v>225</v>
      </c>
      <c r="C230" s="146"/>
      <c r="D230" s="435"/>
      <c r="E230" s="436"/>
      <c r="F230" s="437"/>
      <c r="G230" s="438"/>
      <c r="H230" s="439"/>
      <c r="I230" s="440"/>
      <c r="J230" s="435"/>
      <c r="K230" s="436"/>
      <c r="L230" s="436"/>
      <c r="M230" s="441"/>
      <c r="N230" s="57"/>
      <c r="O230" s="57"/>
      <c r="P230" s="60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</row>
    <row r="231" spans="1:27" ht="16.5">
      <c r="A231" s="57"/>
      <c r="B231" s="61">
        <v>226</v>
      </c>
      <c r="C231" s="146"/>
      <c r="D231" s="435"/>
      <c r="E231" s="436"/>
      <c r="F231" s="437"/>
      <c r="G231" s="438"/>
      <c r="H231" s="439"/>
      <c r="I231" s="440"/>
      <c r="J231" s="435"/>
      <c r="K231" s="436"/>
      <c r="L231" s="436"/>
      <c r="M231" s="441"/>
      <c r="N231" s="57"/>
      <c r="O231" s="57"/>
      <c r="P231" s="60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</row>
    <row r="232" spans="1:27" ht="16.5">
      <c r="A232" s="57"/>
      <c r="B232" s="61">
        <v>227</v>
      </c>
      <c r="C232" s="146"/>
      <c r="D232" s="435"/>
      <c r="E232" s="436"/>
      <c r="F232" s="437"/>
      <c r="G232" s="438"/>
      <c r="H232" s="439"/>
      <c r="I232" s="440"/>
      <c r="J232" s="435"/>
      <c r="K232" s="436"/>
      <c r="L232" s="436"/>
      <c r="M232" s="441"/>
      <c r="N232" s="57"/>
      <c r="O232" s="57"/>
      <c r="P232" s="60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</row>
    <row r="233" spans="1:27" ht="16.5">
      <c r="A233" s="57"/>
      <c r="B233" s="61">
        <v>228</v>
      </c>
      <c r="C233" s="146"/>
      <c r="D233" s="435"/>
      <c r="E233" s="436"/>
      <c r="F233" s="437"/>
      <c r="G233" s="438"/>
      <c r="H233" s="439"/>
      <c r="I233" s="440"/>
      <c r="J233" s="435"/>
      <c r="K233" s="436"/>
      <c r="L233" s="436"/>
      <c r="M233" s="441"/>
      <c r="N233" s="57"/>
      <c r="O233" s="57"/>
      <c r="P233" s="60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</row>
    <row r="234" spans="1:27" ht="16.5">
      <c r="A234" s="57"/>
      <c r="B234" s="61">
        <v>229</v>
      </c>
      <c r="C234" s="146"/>
      <c r="D234" s="435"/>
      <c r="E234" s="436"/>
      <c r="F234" s="437"/>
      <c r="G234" s="438"/>
      <c r="H234" s="439"/>
      <c r="I234" s="440"/>
      <c r="J234" s="435"/>
      <c r="K234" s="436"/>
      <c r="L234" s="436"/>
      <c r="M234" s="441"/>
      <c r="N234" s="57"/>
      <c r="O234" s="57"/>
      <c r="P234" s="60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</row>
    <row r="235" spans="1:27" ht="16.5">
      <c r="A235" s="57"/>
      <c r="B235" s="61">
        <v>230</v>
      </c>
      <c r="C235" s="146"/>
      <c r="D235" s="435"/>
      <c r="E235" s="436"/>
      <c r="F235" s="437"/>
      <c r="G235" s="438"/>
      <c r="H235" s="439"/>
      <c r="I235" s="440"/>
      <c r="J235" s="435"/>
      <c r="K235" s="436"/>
      <c r="L235" s="436"/>
      <c r="M235" s="441"/>
      <c r="N235" s="57"/>
      <c r="O235" s="57"/>
      <c r="P235" s="60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</row>
    <row r="236" spans="1:27" ht="16.5">
      <c r="A236" s="57"/>
      <c r="B236" s="61">
        <v>231</v>
      </c>
      <c r="C236" s="146"/>
      <c r="D236" s="435"/>
      <c r="E236" s="436"/>
      <c r="F236" s="437"/>
      <c r="G236" s="438"/>
      <c r="H236" s="439"/>
      <c r="I236" s="440"/>
      <c r="J236" s="435"/>
      <c r="K236" s="436"/>
      <c r="L236" s="436"/>
      <c r="M236" s="441"/>
      <c r="N236" s="57"/>
      <c r="O236" s="57"/>
      <c r="P236" s="60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</row>
    <row r="237" spans="1:27" ht="16.5">
      <c r="A237" s="57"/>
      <c r="B237" s="61">
        <v>232</v>
      </c>
      <c r="C237" s="146"/>
      <c r="D237" s="435"/>
      <c r="E237" s="436"/>
      <c r="F237" s="437"/>
      <c r="G237" s="438"/>
      <c r="H237" s="439"/>
      <c r="I237" s="440"/>
      <c r="J237" s="435"/>
      <c r="K237" s="436"/>
      <c r="L237" s="436"/>
      <c r="M237" s="441"/>
      <c r="N237" s="57"/>
      <c r="O237" s="57"/>
      <c r="P237" s="60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</row>
    <row r="238" spans="1:27" ht="16.5">
      <c r="A238" s="57"/>
      <c r="B238" s="61">
        <v>233</v>
      </c>
      <c r="C238" s="146"/>
      <c r="D238" s="435"/>
      <c r="E238" s="436"/>
      <c r="F238" s="437"/>
      <c r="G238" s="438"/>
      <c r="H238" s="439"/>
      <c r="I238" s="440"/>
      <c r="J238" s="435"/>
      <c r="K238" s="436"/>
      <c r="L238" s="436"/>
      <c r="M238" s="441"/>
      <c r="N238" s="57"/>
      <c r="O238" s="57"/>
      <c r="P238" s="60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</row>
    <row r="239" spans="1:27" ht="16.5">
      <c r="A239" s="57"/>
      <c r="B239" s="61">
        <v>234</v>
      </c>
      <c r="C239" s="146"/>
      <c r="D239" s="435"/>
      <c r="E239" s="436"/>
      <c r="F239" s="437"/>
      <c r="G239" s="438"/>
      <c r="H239" s="439"/>
      <c r="I239" s="440"/>
      <c r="J239" s="435"/>
      <c r="K239" s="436"/>
      <c r="L239" s="436"/>
      <c r="M239" s="441"/>
      <c r="N239" s="57"/>
      <c r="O239" s="57"/>
      <c r="P239" s="60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</row>
    <row r="240" spans="1:27" ht="16.5">
      <c r="A240" s="57"/>
      <c r="B240" s="61">
        <v>235</v>
      </c>
      <c r="C240" s="146"/>
      <c r="D240" s="435"/>
      <c r="E240" s="436"/>
      <c r="F240" s="437"/>
      <c r="G240" s="438"/>
      <c r="H240" s="439"/>
      <c r="I240" s="440"/>
      <c r="J240" s="435"/>
      <c r="K240" s="436"/>
      <c r="L240" s="436"/>
      <c r="M240" s="441"/>
      <c r="N240" s="57"/>
      <c r="O240" s="57"/>
      <c r="P240" s="60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</row>
    <row r="241" spans="1:27" ht="16.5">
      <c r="A241" s="57"/>
      <c r="B241" s="61">
        <v>236</v>
      </c>
      <c r="C241" s="146"/>
      <c r="D241" s="435"/>
      <c r="E241" s="436"/>
      <c r="F241" s="437"/>
      <c r="G241" s="438"/>
      <c r="H241" s="439"/>
      <c r="I241" s="440"/>
      <c r="J241" s="435"/>
      <c r="K241" s="436"/>
      <c r="L241" s="436"/>
      <c r="M241" s="441"/>
      <c r="N241" s="57"/>
      <c r="O241" s="57"/>
      <c r="P241" s="60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</row>
    <row r="242" spans="1:27" ht="16.5">
      <c r="A242" s="57"/>
      <c r="B242" s="61">
        <v>237</v>
      </c>
      <c r="C242" s="146"/>
      <c r="D242" s="435"/>
      <c r="E242" s="436"/>
      <c r="F242" s="437"/>
      <c r="G242" s="438"/>
      <c r="H242" s="439"/>
      <c r="I242" s="440"/>
      <c r="J242" s="435"/>
      <c r="K242" s="436"/>
      <c r="L242" s="436"/>
      <c r="M242" s="441"/>
      <c r="N242" s="57"/>
      <c r="O242" s="57"/>
      <c r="P242" s="60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</row>
    <row r="243" spans="1:27" ht="16.5">
      <c r="A243" s="57"/>
      <c r="B243" s="61">
        <v>238</v>
      </c>
      <c r="C243" s="146"/>
      <c r="D243" s="435"/>
      <c r="E243" s="436"/>
      <c r="F243" s="437"/>
      <c r="G243" s="438"/>
      <c r="H243" s="439"/>
      <c r="I243" s="440"/>
      <c r="J243" s="435"/>
      <c r="K243" s="436"/>
      <c r="L243" s="436"/>
      <c r="M243" s="441"/>
      <c r="N243" s="57"/>
      <c r="O243" s="57"/>
      <c r="P243" s="60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</row>
    <row r="244" spans="1:27" ht="16.5">
      <c r="A244" s="57"/>
      <c r="B244" s="61">
        <v>239</v>
      </c>
      <c r="C244" s="146"/>
      <c r="D244" s="435"/>
      <c r="E244" s="436"/>
      <c r="F244" s="437"/>
      <c r="G244" s="438"/>
      <c r="H244" s="439"/>
      <c r="I244" s="440"/>
      <c r="J244" s="435"/>
      <c r="K244" s="436"/>
      <c r="L244" s="436"/>
      <c r="M244" s="441"/>
      <c r="N244" s="57"/>
      <c r="O244" s="57"/>
      <c r="P244" s="60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</row>
    <row r="245" spans="1:27" ht="16.5">
      <c r="A245" s="57"/>
      <c r="B245" s="61">
        <v>240</v>
      </c>
      <c r="C245" s="146"/>
      <c r="D245" s="435"/>
      <c r="E245" s="436"/>
      <c r="F245" s="437"/>
      <c r="G245" s="438"/>
      <c r="H245" s="439"/>
      <c r="I245" s="440"/>
      <c r="J245" s="435"/>
      <c r="K245" s="436"/>
      <c r="L245" s="436"/>
      <c r="M245" s="441"/>
      <c r="N245" s="57"/>
      <c r="O245" s="57"/>
      <c r="P245" s="60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</row>
    <row r="246" spans="1:27" ht="16.5">
      <c r="A246" s="57"/>
      <c r="B246" s="61">
        <v>241</v>
      </c>
      <c r="C246" s="146"/>
      <c r="D246" s="435"/>
      <c r="E246" s="436"/>
      <c r="F246" s="437"/>
      <c r="G246" s="438"/>
      <c r="H246" s="439"/>
      <c r="I246" s="440"/>
      <c r="J246" s="435"/>
      <c r="K246" s="436"/>
      <c r="L246" s="436"/>
      <c r="M246" s="441"/>
      <c r="N246" s="57"/>
      <c r="O246" s="57"/>
      <c r="P246" s="60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</row>
    <row r="247" spans="1:27" ht="16.5">
      <c r="A247" s="57"/>
      <c r="B247" s="61">
        <v>242</v>
      </c>
      <c r="C247" s="146"/>
      <c r="D247" s="435"/>
      <c r="E247" s="436"/>
      <c r="F247" s="437"/>
      <c r="G247" s="438"/>
      <c r="H247" s="439"/>
      <c r="I247" s="440"/>
      <c r="J247" s="435"/>
      <c r="K247" s="436"/>
      <c r="L247" s="436"/>
      <c r="M247" s="441"/>
      <c r="N247" s="57"/>
      <c r="O247" s="57"/>
      <c r="P247" s="60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</row>
    <row r="248" spans="1:27" ht="16.5">
      <c r="A248" s="57"/>
      <c r="B248" s="61">
        <v>243</v>
      </c>
      <c r="C248" s="146"/>
      <c r="D248" s="435"/>
      <c r="E248" s="436"/>
      <c r="F248" s="437"/>
      <c r="G248" s="438"/>
      <c r="H248" s="439"/>
      <c r="I248" s="440"/>
      <c r="J248" s="435"/>
      <c r="K248" s="436"/>
      <c r="L248" s="436"/>
      <c r="M248" s="441"/>
      <c r="N248" s="57"/>
      <c r="O248" s="57"/>
      <c r="P248" s="60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</row>
    <row r="249" spans="1:27" ht="16.5">
      <c r="A249" s="57"/>
      <c r="B249" s="61">
        <v>244</v>
      </c>
      <c r="C249" s="146"/>
      <c r="D249" s="435"/>
      <c r="E249" s="436"/>
      <c r="F249" s="437"/>
      <c r="G249" s="438"/>
      <c r="H249" s="439"/>
      <c r="I249" s="440"/>
      <c r="J249" s="435"/>
      <c r="K249" s="436"/>
      <c r="L249" s="436"/>
      <c r="M249" s="441"/>
      <c r="N249" s="57"/>
      <c r="O249" s="57"/>
      <c r="P249" s="60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</row>
    <row r="250" spans="1:27" ht="16.5">
      <c r="A250" s="57"/>
      <c r="B250" s="61">
        <v>245</v>
      </c>
      <c r="C250" s="146"/>
      <c r="D250" s="435"/>
      <c r="E250" s="436"/>
      <c r="F250" s="437"/>
      <c r="G250" s="438"/>
      <c r="H250" s="439"/>
      <c r="I250" s="440"/>
      <c r="J250" s="435"/>
      <c r="K250" s="436"/>
      <c r="L250" s="436"/>
      <c r="M250" s="441"/>
      <c r="N250" s="57"/>
      <c r="O250" s="57"/>
      <c r="P250" s="60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</row>
    <row r="251" spans="1:27" ht="16.5">
      <c r="A251" s="57"/>
      <c r="B251" s="61">
        <v>246</v>
      </c>
      <c r="C251" s="146"/>
      <c r="D251" s="435"/>
      <c r="E251" s="436"/>
      <c r="F251" s="437"/>
      <c r="G251" s="438"/>
      <c r="H251" s="439"/>
      <c r="I251" s="440"/>
      <c r="J251" s="435"/>
      <c r="K251" s="436"/>
      <c r="L251" s="436"/>
      <c r="M251" s="441"/>
      <c r="N251" s="57"/>
      <c r="O251" s="57"/>
      <c r="P251" s="60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</row>
    <row r="252" spans="1:27" ht="16.5">
      <c r="A252" s="57"/>
      <c r="B252" s="61">
        <v>247</v>
      </c>
      <c r="C252" s="146"/>
      <c r="D252" s="435"/>
      <c r="E252" s="436"/>
      <c r="F252" s="437"/>
      <c r="G252" s="438"/>
      <c r="H252" s="439"/>
      <c r="I252" s="440"/>
      <c r="J252" s="435"/>
      <c r="K252" s="436"/>
      <c r="L252" s="436"/>
      <c r="M252" s="441"/>
      <c r="N252" s="57"/>
      <c r="O252" s="57"/>
      <c r="P252" s="60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</row>
    <row r="253" spans="1:27" ht="16.5">
      <c r="A253" s="57"/>
      <c r="B253" s="61">
        <v>248</v>
      </c>
      <c r="C253" s="146"/>
      <c r="D253" s="435"/>
      <c r="E253" s="436"/>
      <c r="F253" s="437"/>
      <c r="G253" s="438"/>
      <c r="H253" s="439"/>
      <c r="I253" s="440"/>
      <c r="J253" s="435"/>
      <c r="K253" s="436"/>
      <c r="L253" s="436"/>
      <c r="M253" s="441"/>
      <c r="N253" s="57"/>
      <c r="O253" s="57"/>
      <c r="P253" s="60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</row>
    <row r="254" spans="1:27" ht="16.5">
      <c r="A254" s="57"/>
      <c r="B254" s="61">
        <v>249</v>
      </c>
      <c r="C254" s="146"/>
      <c r="D254" s="435"/>
      <c r="E254" s="436"/>
      <c r="F254" s="437"/>
      <c r="G254" s="438"/>
      <c r="H254" s="439"/>
      <c r="I254" s="440"/>
      <c r="J254" s="435"/>
      <c r="K254" s="436"/>
      <c r="L254" s="436"/>
      <c r="M254" s="441"/>
      <c r="N254" s="57"/>
      <c r="O254" s="57"/>
      <c r="P254" s="60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</row>
    <row r="255" spans="1:27" ht="16.5">
      <c r="A255" s="57"/>
      <c r="B255" s="61">
        <v>250</v>
      </c>
      <c r="C255" s="146"/>
      <c r="D255" s="435"/>
      <c r="E255" s="436"/>
      <c r="F255" s="437"/>
      <c r="G255" s="438"/>
      <c r="H255" s="439"/>
      <c r="I255" s="440"/>
      <c r="J255" s="435"/>
      <c r="K255" s="436"/>
      <c r="L255" s="436"/>
      <c r="M255" s="441"/>
      <c r="N255" s="57"/>
      <c r="O255" s="57"/>
      <c r="P255" s="60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</row>
    <row r="256" spans="1:27" ht="16.5">
      <c r="A256" s="57"/>
      <c r="B256" s="61">
        <v>251</v>
      </c>
      <c r="C256" s="146"/>
      <c r="D256" s="435"/>
      <c r="E256" s="436"/>
      <c r="F256" s="437"/>
      <c r="G256" s="438"/>
      <c r="H256" s="439"/>
      <c r="I256" s="440"/>
      <c r="J256" s="435"/>
      <c r="K256" s="436"/>
      <c r="L256" s="436"/>
      <c r="M256" s="441"/>
      <c r="N256" s="57"/>
      <c r="O256" s="57"/>
      <c r="P256" s="60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</row>
    <row r="257" spans="1:27" ht="16.5">
      <c r="A257" s="57"/>
      <c r="B257" s="61">
        <v>252</v>
      </c>
      <c r="C257" s="146"/>
      <c r="D257" s="435"/>
      <c r="E257" s="436"/>
      <c r="F257" s="437"/>
      <c r="G257" s="438"/>
      <c r="H257" s="439"/>
      <c r="I257" s="440"/>
      <c r="J257" s="435"/>
      <c r="K257" s="436"/>
      <c r="L257" s="436"/>
      <c r="M257" s="441"/>
      <c r="N257" s="57"/>
      <c r="O257" s="57"/>
      <c r="P257" s="60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</row>
    <row r="258" spans="1:27" ht="16.5">
      <c r="A258" s="57"/>
      <c r="B258" s="61">
        <v>253</v>
      </c>
      <c r="C258" s="146"/>
      <c r="D258" s="435"/>
      <c r="E258" s="436"/>
      <c r="F258" s="437"/>
      <c r="G258" s="438"/>
      <c r="H258" s="439"/>
      <c r="I258" s="440"/>
      <c r="J258" s="435"/>
      <c r="K258" s="436"/>
      <c r="L258" s="436"/>
      <c r="M258" s="441"/>
      <c r="N258" s="57"/>
      <c r="O258" s="57"/>
      <c r="P258" s="60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</row>
    <row r="259" spans="1:27" ht="16.5">
      <c r="A259" s="57"/>
      <c r="B259" s="61">
        <v>254</v>
      </c>
      <c r="C259" s="146"/>
      <c r="D259" s="435"/>
      <c r="E259" s="436"/>
      <c r="F259" s="437"/>
      <c r="G259" s="438"/>
      <c r="H259" s="439"/>
      <c r="I259" s="440"/>
      <c r="J259" s="435"/>
      <c r="K259" s="436"/>
      <c r="L259" s="436"/>
      <c r="M259" s="441"/>
      <c r="N259" s="57"/>
      <c r="O259" s="57"/>
      <c r="P259" s="60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</row>
    <row r="260" spans="1:27" ht="16.5">
      <c r="A260" s="57"/>
      <c r="B260" s="61">
        <v>255</v>
      </c>
      <c r="C260" s="146"/>
      <c r="D260" s="435"/>
      <c r="E260" s="436"/>
      <c r="F260" s="437"/>
      <c r="G260" s="438"/>
      <c r="H260" s="439"/>
      <c r="I260" s="440"/>
      <c r="J260" s="435"/>
      <c r="K260" s="436"/>
      <c r="L260" s="436"/>
      <c r="M260" s="441"/>
      <c r="N260" s="57"/>
      <c r="O260" s="57"/>
      <c r="P260" s="60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</row>
    <row r="261" spans="1:27" ht="16.5">
      <c r="A261" s="57"/>
      <c r="B261" s="61">
        <v>256</v>
      </c>
      <c r="C261" s="146"/>
      <c r="D261" s="435"/>
      <c r="E261" s="436"/>
      <c r="F261" s="437"/>
      <c r="G261" s="438"/>
      <c r="H261" s="439"/>
      <c r="I261" s="440"/>
      <c r="J261" s="435"/>
      <c r="K261" s="436"/>
      <c r="L261" s="436"/>
      <c r="M261" s="441"/>
      <c r="N261" s="57"/>
      <c r="O261" s="57"/>
      <c r="P261" s="60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</row>
    <row r="262" spans="1:27" ht="16.5">
      <c r="A262" s="57"/>
      <c r="B262" s="61">
        <v>257</v>
      </c>
      <c r="C262" s="146"/>
      <c r="D262" s="435"/>
      <c r="E262" s="436"/>
      <c r="F262" s="437"/>
      <c r="G262" s="438"/>
      <c r="H262" s="439"/>
      <c r="I262" s="440"/>
      <c r="J262" s="435"/>
      <c r="K262" s="436"/>
      <c r="L262" s="436"/>
      <c r="M262" s="441"/>
      <c r="N262" s="57"/>
      <c r="O262" s="57"/>
      <c r="P262" s="60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</row>
    <row r="263" spans="1:27" ht="16.5">
      <c r="A263" s="57"/>
      <c r="B263" s="61">
        <v>258</v>
      </c>
      <c r="C263" s="146"/>
      <c r="D263" s="435"/>
      <c r="E263" s="436"/>
      <c r="F263" s="437"/>
      <c r="G263" s="438"/>
      <c r="H263" s="439"/>
      <c r="I263" s="440"/>
      <c r="J263" s="435"/>
      <c r="K263" s="436"/>
      <c r="L263" s="436"/>
      <c r="M263" s="441"/>
      <c r="N263" s="57"/>
      <c r="O263" s="57"/>
      <c r="P263" s="60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</row>
    <row r="264" spans="1:27" ht="16.5">
      <c r="A264" s="57"/>
      <c r="B264" s="61">
        <v>259</v>
      </c>
      <c r="C264" s="146"/>
      <c r="D264" s="435"/>
      <c r="E264" s="436"/>
      <c r="F264" s="437"/>
      <c r="G264" s="438"/>
      <c r="H264" s="439"/>
      <c r="I264" s="440"/>
      <c r="J264" s="435"/>
      <c r="K264" s="436"/>
      <c r="L264" s="436"/>
      <c r="M264" s="441"/>
      <c r="N264" s="57"/>
      <c r="O264" s="57"/>
      <c r="P264" s="60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</row>
    <row r="265" spans="1:27" ht="16.5">
      <c r="A265" s="57"/>
      <c r="B265" s="61">
        <v>260</v>
      </c>
      <c r="C265" s="146"/>
      <c r="D265" s="435"/>
      <c r="E265" s="436"/>
      <c r="F265" s="437"/>
      <c r="G265" s="438"/>
      <c r="H265" s="439"/>
      <c r="I265" s="440"/>
      <c r="J265" s="435"/>
      <c r="K265" s="436"/>
      <c r="L265" s="436"/>
      <c r="M265" s="441"/>
      <c r="N265" s="57"/>
      <c r="O265" s="57"/>
      <c r="P265" s="60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</row>
    <row r="266" spans="1:27" ht="16.5">
      <c r="A266" s="57"/>
      <c r="B266" s="61">
        <v>261</v>
      </c>
      <c r="C266" s="146"/>
      <c r="D266" s="435"/>
      <c r="E266" s="436"/>
      <c r="F266" s="437"/>
      <c r="G266" s="438"/>
      <c r="H266" s="439"/>
      <c r="I266" s="440"/>
      <c r="J266" s="435"/>
      <c r="K266" s="436"/>
      <c r="L266" s="436"/>
      <c r="M266" s="441"/>
      <c r="N266" s="57"/>
      <c r="O266" s="57"/>
      <c r="P266" s="60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</row>
    <row r="267" spans="1:27" ht="16.5">
      <c r="A267" s="57"/>
      <c r="B267" s="61">
        <v>262</v>
      </c>
      <c r="C267" s="146"/>
      <c r="D267" s="435"/>
      <c r="E267" s="436"/>
      <c r="F267" s="437"/>
      <c r="G267" s="438"/>
      <c r="H267" s="439"/>
      <c r="I267" s="440"/>
      <c r="J267" s="435"/>
      <c r="K267" s="436"/>
      <c r="L267" s="436"/>
      <c r="M267" s="441"/>
      <c r="N267" s="57"/>
      <c r="O267" s="57"/>
      <c r="P267" s="60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</row>
    <row r="268" spans="1:27" ht="16.5">
      <c r="A268" s="57"/>
      <c r="B268" s="61">
        <v>263</v>
      </c>
      <c r="C268" s="146"/>
      <c r="D268" s="435"/>
      <c r="E268" s="436"/>
      <c r="F268" s="437"/>
      <c r="G268" s="438"/>
      <c r="H268" s="439"/>
      <c r="I268" s="440"/>
      <c r="J268" s="435"/>
      <c r="K268" s="436"/>
      <c r="L268" s="436"/>
      <c r="M268" s="441"/>
      <c r="N268" s="57"/>
      <c r="O268" s="57"/>
      <c r="P268" s="60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</row>
    <row r="269" spans="1:27" ht="16.5">
      <c r="A269" s="57"/>
      <c r="B269" s="61">
        <v>264</v>
      </c>
      <c r="C269" s="146"/>
      <c r="D269" s="435"/>
      <c r="E269" s="436"/>
      <c r="F269" s="437"/>
      <c r="G269" s="438"/>
      <c r="H269" s="439"/>
      <c r="I269" s="440"/>
      <c r="J269" s="435"/>
      <c r="K269" s="436"/>
      <c r="L269" s="436"/>
      <c r="M269" s="441"/>
      <c r="N269" s="57"/>
      <c r="O269" s="57"/>
      <c r="P269" s="60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</row>
    <row r="270" spans="1:27" ht="16.5">
      <c r="A270" s="57"/>
      <c r="B270" s="61">
        <v>265</v>
      </c>
      <c r="C270" s="146"/>
      <c r="D270" s="435"/>
      <c r="E270" s="436"/>
      <c r="F270" s="437"/>
      <c r="G270" s="438"/>
      <c r="H270" s="439"/>
      <c r="I270" s="440"/>
      <c r="J270" s="435"/>
      <c r="K270" s="436"/>
      <c r="L270" s="436"/>
      <c r="M270" s="441"/>
      <c r="N270" s="57"/>
      <c r="O270" s="57"/>
      <c r="P270" s="60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</row>
    <row r="271" spans="1:27" ht="16.5">
      <c r="A271" s="57"/>
      <c r="B271" s="61">
        <v>266</v>
      </c>
      <c r="C271" s="146"/>
      <c r="D271" s="435"/>
      <c r="E271" s="436"/>
      <c r="F271" s="437"/>
      <c r="G271" s="438"/>
      <c r="H271" s="439"/>
      <c r="I271" s="440"/>
      <c r="J271" s="435"/>
      <c r="K271" s="436"/>
      <c r="L271" s="436"/>
      <c r="M271" s="441"/>
      <c r="N271" s="57"/>
      <c r="O271" s="57"/>
      <c r="P271" s="60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</row>
    <row r="272" spans="1:27" ht="16.5">
      <c r="A272" s="57"/>
      <c r="B272" s="61">
        <v>267</v>
      </c>
      <c r="C272" s="146"/>
      <c r="D272" s="435"/>
      <c r="E272" s="436"/>
      <c r="F272" s="437"/>
      <c r="G272" s="438"/>
      <c r="H272" s="439"/>
      <c r="I272" s="440"/>
      <c r="J272" s="435"/>
      <c r="K272" s="436"/>
      <c r="L272" s="436"/>
      <c r="M272" s="441"/>
      <c r="N272" s="57"/>
      <c r="O272" s="57"/>
      <c r="P272" s="60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</row>
    <row r="273" spans="1:27" ht="16.5">
      <c r="A273" s="57"/>
      <c r="B273" s="61">
        <v>268</v>
      </c>
      <c r="C273" s="146"/>
      <c r="D273" s="435"/>
      <c r="E273" s="436"/>
      <c r="F273" s="437"/>
      <c r="G273" s="438"/>
      <c r="H273" s="439"/>
      <c r="I273" s="440"/>
      <c r="J273" s="435"/>
      <c r="K273" s="436"/>
      <c r="L273" s="436"/>
      <c r="M273" s="441"/>
      <c r="N273" s="57"/>
      <c r="O273" s="57"/>
      <c r="P273" s="60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</row>
    <row r="274" spans="1:27" ht="16.5">
      <c r="A274" s="57"/>
      <c r="B274" s="61">
        <v>269</v>
      </c>
      <c r="C274" s="146"/>
      <c r="D274" s="435"/>
      <c r="E274" s="436"/>
      <c r="F274" s="437"/>
      <c r="G274" s="438"/>
      <c r="H274" s="439"/>
      <c r="I274" s="440"/>
      <c r="J274" s="435"/>
      <c r="K274" s="436"/>
      <c r="L274" s="436"/>
      <c r="M274" s="441"/>
      <c r="N274" s="57"/>
      <c r="O274" s="57"/>
      <c r="P274" s="60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</row>
    <row r="275" spans="1:27" ht="16.5">
      <c r="A275" s="57"/>
      <c r="B275" s="61">
        <v>270</v>
      </c>
      <c r="C275" s="146"/>
      <c r="D275" s="435"/>
      <c r="E275" s="436"/>
      <c r="F275" s="437"/>
      <c r="G275" s="438"/>
      <c r="H275" s="439"/>
      <c r="I275" s="440"/>
      <c r="J275" s="435"/>
      <c r="K275" s="436"/>
      <c r="L275" s="436"/>
      <c r="M275" s="441"/>
      <c r="N275" s="57"/>
      <c r="O275" s="57"/>
      <c r="P275" s="60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</row>
    <row r="276" spans="1:27" ht="16.5">
      <c r="A276" s="57"/>
      <c r="B276" s="61">
        <v>271</v>
      </c>
      <c r="C276" s="146"/>
      <c r="D276" s="435"/>
      <c r="E276" s="436"/>
      <c r="F276" s="437"/>
      <c r="G276" s="438"/>
      <c r="H276" s="439"/>
      <c r="I276" s="440"/>
      <c r="J276" s="435"/>
      <c r="K276" s="436"/>
      <c r="L276" s="436"/>
      <c r="M276" s="441"/>
      <c r="N276" s="57"/>
      <c r="O276" s="57"/>
      <c r="P276" s="60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</row>
    <row r="277" spans="1:27" ht="16.5">
      <c r="A277" s="57"/>
      <c r="B277" s="61">
        <v>272</v>
      </c>
      <c r="C277" s="146"/>
      <c r="D277" s="435"/>
      <c r="E277" s="436"/>
      <c r="F277" s="437"/>
      <c r="G277" s="438"/>
      <c r="H277" s="439"/>
      <c r="I277" s="440"/>
      <c r="J277" s="435"/>
      <c r="K277" s="436"/>
      <c r="L277" s="436"/>
      <c r="M277" s="441"/>
      <c r="N277" s="57"/>
      <c r="O277" s="57"/>
      <c r="P277" s="60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</row>
    <row r="278" spans="1:27" ht="16.5">
      <c r="A278" s="57"/>
      <c r="B278" s="61">
        <v>273</v>
      </c>
      <c r="C278" s="146"/>
      <c r="D278" s="435"/>
      <c r="E278" s="436"/>
      <c r="F278" s="437"/>
      <c r="G278" s="438"/>
      <c r="H278" s="439"/>
      <c r="I278" s="440"/>
      <c r="J278" s="435"/>
      <c r="K278" s="436"/>
      <c r="L278" s="436"/>
      <c r="M278" s="441"/>
      <c r="N278" s="57"/>
      <c r="O278" s="57"/>
      <c r="P278" s="60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</row>
    <row r="279" spans="1:27" ht="16.5">
      <c r="A279" s="57"/>
      <c r="B279" s="61">
        <v>274</v>
      </c>
      <c r="C279" s="146"/>
      <c r="D279" s="435"/>
      <c r="E279" s="436"/>
      <c r="F279" s="437"/>
      <c r="G279" s="438"/>
      <c r="H279" s="439"/>
      <c r="I279" s="440"/>
      <c r="J279" s="435"/>
      <c r="K279" s="436"/>
      <c r="L279" s="436"/>
      <c r="M279" s="441"/>
      <c r="N279" s="57"/>
      <c r="O279" s="57"/>
      <c r="P279" s="60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</row>
    <row r="280" spans="1:27" ht="16.5">
      <c r="A280" s="57"/>
      <c r="B280" s="61">
        <v>275</v>
      </c>
      <c r="C280" s="146"/>
      <c r="D280" s="435"/>
      <c r="E280" s="436"/>
      <c r="F280" s="437"/>
      <c r="G280" s="438"/>
      <c r="H280" s="439"/>
      <c r="I280" s="440"/>
      <c r="J280" s="435"/>
      <c r="K280" s="436"/>
      <c r="L280" s="436"/>
      <c r="M280" s="441"/>
      <c r="N280" s="57"/>
      <c r="O280" s="57"/>
      <c r="P280" s="60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</row>
    <row r="281" spans="1:27" ht="16.5">
      <c r="A281" s="57"/>
      <c r="B281" s="61">
        <v>276</v>
      </c>
      <c r="C281" s="146"/>
      <c r="D281" s="435"/>
      <c r="E281" s="436"/>
      <c r="F281" s="437"/>
      <c r="G281" s="438"/>
      <c r="H281" s="439"/>
      <c r="I281" s="440"/>
      <c r="J281" s="435"/>
      <c r="K281" s="436"/>
      <c r="L281" s="436"/>
      <c r="M281" s="441"/>
      <c r="N281" s="57"/>
      <c r="O281" s="57"/>
      <c r="P281" s="60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</row>
    <row r="282" spans="1:27" ht="16.5">
      <c r="A282" s="57"/>
      <c r="B282" s="61">
        <v>277</v>
      </c>
      <c r="C282" s="146"/>
      <c r="D282" s="435"/>
      <c r="E282" s="436"/>
      <c r="F282" s="437"/>
      <c r="G282" s="438"/>
      <c r="H282" s="439"/>
      <c r="I282" s="440"/>
      <c r="J282" s="435"/>
      <c r="K282" s="436"/>
      <c r="L282" s="436"/>
      <c r="M282" s="441"/>
      <c r="N282" s="57"/>
      <c r="O282" s="57"/>
      <c r="P282" s="60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</row>
    <row r="283" spans="1:27" ht="16.5">
      <c r="A283" s="57"/>
      <c r="B283" s="61">
        <v>278</v>
      </c>
      <c r="C283" s="146"/>
      <c r="D283" s="435"/>
      <c r="E283" s="436"/>
      <c r="F283" s="437"/>
      <c r="G283" s="438"/>
      <c r="H283" s="439"/>
      <c r="I283" s="440"/>
      <c r="J283" s="435"/>
      <c r="K283" s="436"/>
      <c r="L283" s="436"/>
      <c r="M283" s="441"/>
      <c r="N283" s="57"/>
      <c r="O283" s="57"/>
      <c r="P283" s="60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</row>
    <row r="284" spans="1:27" ht="16.5">
      <c r="A284" s="57"/>
      <c r="B284" s="61">
        <v>279</v>
      </c>
      <c r="C284" s="146"/>
      <c r="D284" s="435"/>
      <c r="E284" s="436"/>
      <c r="F284" s="437"/>
      <c r="G284" s="438"/>
      <c r="H284" s="439"/>
      <c r="I284" s="440"/>
      <c r="J284" s="435"/>
      <c r="K284" s="436"/>
      <c r="L284" s="436"/>
      <c r="M284" s="441"/>
      <c r="N284" s="57"/>
      <c r="O284" s="57"/>
      <c r="P284" s="60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</row>
    <row r="285" spans="1:27" ht="16.5">
      <c r="A285" s="57"/>
      <c r="B285" s="61">
        <v>280</v>
      </c>
      <c r="C285" s="146"/>
      <c r="D285" s="435"/>
      <c r="E285" s="436"/>
      <c r="F285" s="437"/>
      <c r="G285" s="438"/>
      <c r="H285" s="439"/>
      <c r="I285" s="440"/>
      <c r="J285" s="435"/>
      <c r="K285" s="436"/>
      <c r="L285" s="436"/>
      <c r="M285" s="441"/>
      <c r="N285" s="57"/>
      <c r="O285" s="57"/>
      <c r="P285" s="60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</row>
    <row r="286" spans="1:27" ht="16.5">
      <c r="A286" s="57"/>
      <c r="B286" s="61">
        <v>281</v>
      </c>
      <c r="C286" s="146"/>
      <c r="D286" s="435"/>
      <c r="E286" s="436"/>
      <c r="F286" s="437"/>
      <c r="G286" s="438"/>
      <c r="H286" s="439"/>
      <c r="I286" s="440"/>
      <c r="J286" s="435"/>
      <c r="K286" s="436"/>
      <c r="L286" s="436"/>
      <c r="M286" s="441"/>
      <c r="N286" s="57"/>
      <c r="O286" s="57"/>
      <c r="P286" s="60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</row>
    <row r="287" spans="1:27" ht="16.5">
      <c r="A287" s="57"/>
      <c r="B287" s="61">
        <v>282</v>
      </c>
      <c r="C287" s="146"/>
      <c r="D287" s="435"/>
      <c r="E287" s="436"/>
      <c r="F287" s="437"/>
      <c r="G287" s="438"/>
      <c r="H287" s="439"/>
      <c r="I287" s="440"/>
      <c r="J287" s="435"/>
      <c r="K287" s="436"/>
      <c r="L287" s="436"/>
      <c r="M287" s="441"/>
      <c r="N287" s="57"/>
      <c r="O287" s="57"/>
      <c r="P287" s="60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</row>
    <row r="288" spans="1:27" ht="16.5">
      <c r="A288" s="57"/>
      <c r="B288" s="61">
        <v>283</v>
      </c>
      <c r="C288" s="146"/>
      <c r="D288" s="435"/>
      <c r="E288" s="436"/>
      <c r="F288" s="437"/>
      <c r="G288" s="438"/>
      <c r="H288" s="439"/>
      <c r="I288" s="440"/>
      <c r="J288" s="435"/>
      <c r="K288" s="436"/>
      <c r="L288" s="436"/>
      <c r="M288" s="441"/>
      <c r="N288" s="57"/>
      <c r="O288" s="57"/>
      <c r="P288" s="60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</row>
    <row r="289" spans="1:27" ht="16.5">
      <c r="A289" s="57"/>
      <c r="B289" s="61">
        <v>284</v>
      </c>
      <c r="C289" s="146"/>
      <c r="D289" s="435"/>
      <c r="E289" s="436"/>
      <c r="F289" s="437"/>
      <c r="G289" s="438"/>
      <c r="H289" s="439"/>
      <c r="I289" s="440"/>
      <c r="J289" s="435"/>
      <c r="K289" s="436"/>
      <c r="L289" s="436"/>
      <c r="M289" s="441"/>
      <c r="N289" s="57"/>
      <c r="O289" s="57"/>
      <c r="P289" s="60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</row>
    <row r="290" spans="1:27" ht="16.5">
      <c r="A290" s="57"/>
      <c r="B290" s="61">
        <v>285</v>
      </c>
      <c r="C290" s="146"/>
      <c r="D290" s="435"/>
      <c r="E290" s="436"/>
      <c r="F290" s="437"/>
      <c r="G290" s="438"/>
      <c r="H290" s="439"/>
      <c r="I290" s="440"/>
      <c r="J290" s="435"/>
      <c r="K290" s="436"/>
      <c r="L290" s="436"/>
      <c r="M290" s="441"/>
      <c r="N290" s="57"/>
      <c r="O290" s="57"/>
      <c r="P290" s="60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</row>
    <row r="291" spans="1:27" ht="16.5">
      <c r="A291" s="57"/>
      <c r="B291" s="61">
        <v>286</v>
      </c>
      <c r="C291" s="146"/>
      <c r="D291" s="435"/>
      <c r="E291" s="436"/>
      <c r="F291" s="437"/>
      <c r="G291" s="438"/>
      <c r="H291" s="439"/>
      <c r="I291" s="440"/>
      <c r="J291" s="435"/>
      <c r="K291" s="436"/>
      <c r="L291" s="436"/>
      <c r="M291" s="441"/>
      <c r="N291" s="57"/>
      <c r="O291" s="57"/>
      <c r="P291" s="60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</row>
    <row r="292" spans="1:27" ht="16.5">
      <c r="A292" s="57"/>
      <c r="B292" s="61">
        <v>287</v>
      </c>
      <c r="C292" s="146"/>
      <c r="D292" s="435"/>
      <c r="E292" s="436"/>
      <c r="F292" s="437"/>
      <c r="G292" s="438"/>
      <c r="H292" s="439"/>
      <c r="I292" s="440"/>
      <c r="J292" s="435"/>
      <c r="K292" s="436"/>
      <c r="L292" s="436"/>
      <c r="M292" s="441"/>
      <c r="N292" s="57"/>
      <c r="O292" s="57"/>
      <c r="P292" s="60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</row>
    <row r="293" spans="1:27" ht="16.5">
      <c r="A293" s="57"/>
      <c r="B293" s="61">
        <v>288</v>
      </c>
      <c r="C293" s="146"/>
      <c r="D293" s="435"/>
      <c r="E293" s="436"/>
      <c r="F293" s="437"/>
      <c r="G293" s="438"/>
      <c r="H293" s="439"/>
      <c r="I293" s="440"/>
      <c r="J293" s="435"/>
      <c r="K293" s="436"/>
      <c r="L293" s="436"/>
      <c r="M293" s="441"/>
      <c r="N293" s="57"/>
      <c r="O293" s="57"/>
      <c r="P293" s="60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</row>
    <row r="294" spans="1:27" ht="16.5">
      <c r="A294" s="57"/>
      <c r="B294" s="61">
        <v>289</v>
      </c>
      <c r="C294" s="146"/>
      <c r="D294" s="435"/>
      <c r="E294" s="436"/>
      <c r="F294" s="437"/>
      <c r="G294" s="438"/>
      <c r="H294" s="439"/>
      <c r="I294" s="440"/>
      <c r="J294" s="435"/>
      <c r="K294" s="436"/>
      <c r="L294" s="436"/>
      <c r="M294" s="441"/>
      <c r="N294" s="57"/>
      <c r="O294" s="57"/>
      <c r="P294" s="60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</row>
    <row r="295" spans="1:27" ht="16.5">
      <c r="A295" s="57"/>
      <c r="B295" s="61">
        <v>290</v>
      </c>
      <c r="C295" s="146"/>
      <c r="D295" s="435"/>
      <c r="E295" s="436"/>
      <c r="F295" s="437"/>
      <c r="G295" s="438"/>
      <c r="H295" s="439"/>
      <c r="I295" s="440"/>
      <c r="J295" s="435"/>
      <c r="K295" s="436"/>
      <c r="L295" s="436"/>
      <c r="M295" s="441"/>
      <c r="N295" s="57"/>
      <c r="O295" s="57"/>
      <c r="P295" s="60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</row>
    <row r="296" spans="1:27" ht="16.5">
      <c r="A296" s="57"/>
      <c r="B296" s="61">
        <v>291</v>
      </c>
      <c r="C296" s="146"/>
      <c r="D296" s="435"/>
      <c r="E296" s="436"/>
      <c r="F296" s="437"/>
      <c r="G296" s="438"/>
      <c r="H296" s="439"/>
      <c r="I296" s="440"/>
      <c r="J296" s="435"/>
      <c r="K296" s="436"/>
      <c r="L296" s="436"/>
      <c r="M296" s="441"/>
      <c r="N296" s="57"/>
      <c r="O296" s="57"/>
      <c r="P296" s="60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</row>
    <row r="297" spans="1:27" ht="16.5">
      <c r="A297" s="57"/>
      <c r="B297" s="61">
        <v>292</v>
      </c>
      <c r="C297" s="146"/>
      <c r="D297" s="435"/>
      <c r="E297" s="436"/>
      <c r="F297" s="437"/>
      <c r="G297" s="438"/>
      <c r="H297" s="439"/>
      <c r="I297" s="440"/>
      <c r="J297" s="435"/>
      <c r="K297" s="436"/>
      <c r="L297" s="436"/>
      <c r="M297" s="441"/>
      <c r="N297" s="57"/>
      <c r="O297" s="57"/>
      <c r="P297" s="60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</row>
    <row r="298" spans="1:27" ht="16.5">
      <c r="A298" s="57"/>
      <c r="B298" s="61">
        <v>293</v>
      </c>
      <c r="C298" s="146"/>
      <c r="D298" s="435"/>
      <c r="E298" s="436"/>
      <c r="F298" s="437"/>
      <c r="G298" s="438"/>
      <c r="H298" s="439"/>
      <c r="I298" s="440"/>
      <c r="J298" s="435"/>
      <c r="K298" s="436"/>
      <c r="L298" s="436"/>
      <c r="M298" s="441"/>
      <c r="N298" s="57"/>
      <c r="O298" s="57"/>
      <c r="P298" s="60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</row>
    <row r="299" spans="1:27" ht="16.5">
      <c r="A299" s="57"/>
      <c r="B299" s="61">
        <v>294</v>
      </c>
      <c r="C299" s="146"/>
      <c r="D299" s="435"/>
      <c r="E299" s="436"/>
      <c r="F299" s="437"/>
      <c r="G299" s="438"/>
      <c r="H299" s="439"/>
      <c r="I299" s="440"/>
      <c r="J299" s="435"/>
      <c r="K299" s="436"/>
      <c r="L299" s="436"/>
      <c r="M299" s="441"/>
      <c r="N299" s="57"/>
      <c r="O299" s="57"/>
      <c r="P299" s="60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</row>
    <row r="300" spans="1:27" ht="16.5">
      <c r="A300" s="57"/>
      <c r="B300" s="61">
        <v>295</v>
      </c>
      <c r="C300" s="146"/>
      <c r="D300" s="435"/>
      <c r="E300" s="436"/>
      <c r="F300" s="437"/>
      <c r="G300" s="438"/>
      <c r="H300" s="439"/>
      <c r="I300" s="440"/>
      <c r="J300" s="435"/>
      <c r="K300" s="436"/>
      <c r="L300" s="436"/>
      <c r="M300" s="441"/>
      <c r="N300" s="57"/>
      <c r="O300" s="57"/>
      <c r="P300" s="60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</row>
    <row r="301" spans="1:27" ht="16.5">
      <c r="A301" s="57"/>
      <c r="B301" s="61">
        <v>296</v>
      </c>
      <c r="C301" s="146"/>
      <c r="D301" s="435"/>
      <c r="E301" s="436"/>
      <c r="F301" s="437"/>
      <c r="G301" s="438"/>
      <c r="H301" s="439"/>
      <c r="I301" s="440"/>
      <c r="J301" s="435"/>
      <c r="K301" s="436"/>
      <c r="L301" s="436"/>
      <c r="M301" s="441"/>
      <c r="N301" s="57"/>
      <c r="O301" s="57"/>
      <c r="P301" s="60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</row>
    <row r="302" spans="1:27" ht="16.5">
      <c r="A302" s="57"/>
      <c r="B302" s="61">
        <v>297</v>
      </c>
      <c r="C302" s="146"/>
      <c r="D302" s="435"/>
      <c r="E302" s="436"/>
      <c r="F302" s="437"/>
      <c r="G302" s="438"/>
      <c r="H302" s="439"/>
      <c r="I302" s="440"/>
      <c r="J302" s="435"/>
      <c r="K302" s="436"/>
      <c r="L302" s="436"/>
      <c r="M302" s="441"/>
      <c r="N302" s="57"/>
      <c r="O302" s="57"/>
      <c r="P302" s="60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</row>
    <row r="303" spans="1:27" ht="16.5">
      <c r="A303" s="57"/>
      <c r="B303" s="61">
        <v>298</v>
      </c>
      <c r="C303" s="146"/>
      <c r="D303" s="435"/>
      <c r="E303" s="436"/>
      <c r="F303" s="437"/>
      <c r="G303" s="438"/>
      <c r="H303" s="439"/>
      <c r="I303" s="440"/>
      <c r="J303" s="435"/>
      <c r="K303" s="436"/>
      <c r="L303" s="436"/>
      <c r="M303" s="441"/>
      <c r="N303" s="57"/>
      <c r="O303" s="57"/>
      <c r="P303" s="60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</row>
    <row r="304" spans="1:27" ht="16.5">
      <c r="A304" s="57"/>
      <c r="B304" s="61">
        <v>299</v>
      </c>
      <c r="C304" s="146"/>
      <c r="D304" s="435"/>
      <c r="E304" s="436"/>
      <c r="F304" s="437"/>
      <c r="G304" s="438"/>
      <c r="H304" s="439"/>
      <c r="I304" s="440"/>
      <c r="J304" s="435"/>
      <c r="K304" s="436"/>
      <c r="L304" s="436"/>
      <c r="M304" s="441"/>
      <c r="N304" s="57"/>
      <c r="O304" s="57"/>
      <c r="P304" s="60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</row>
    <row r="305" spans="1:27" ht="16.5">
      <c r="A305" s="57"/>
      <c r="B305" s="61">
        <v>300</v>
      </c>
      <c r="C305" s="146"/>
      <c r="D305" s="435"/>
      <c r="E305" s="436"/>
      <c r="F305" s="437"/>
      <c r="G305" s="438"/>
      <c r="H305" s="439"/>
      <c r="I305" s="440"/>
      <c r="J305" s="435"/>
      <c r="K305" s="436"/>
      <c r="L305" s="436"/>
      <c r="M305" s="441"/>
      <c r="N305" s="57"/>
      <c r="O305" s="57"/>
      <c r="P305" s="60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</row>
    <row r="306" spans="1:27" ht="16.5">
      <c r="A306" s="57"/>
      <c r="B306" s="61">
        <v>301</v>
      </c>
      <c r="C306" s="146"/>
      <c r="D306" s="435"/>
      <c r="E306" s="436"/>
      <c r="F306" s="437"/>
      <c r="G306" s="438"/>
      <c r="H306" s="439"/>
      <c r="I306" s="440"/>
      <c r="J306" s="435"/>
      <c r="K306" s="436"/>
      <c r="L306" s="436"/>
      <c r="M306" s="441"/>
      <c r="N306" s="57"/>
      <c r="O306" s="57"/>
      <c r="P306" s="60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</row>
    <row r="307" spans="1:27" ht="16.5">
      <c r="A307" s="57"/>
      <c r="B307" s="61">
        <v>302</v>
      </c>
      <c r="C307" s="146"/>
      <c r="D307" s="435"/>
      <c r="E307" s="436"/>
      <c r="F307" s="437"/>
      <c r="G307" s="438"/>
      <c r="H307" s="439"/>
      <c r="I307" s="440"/>
      <c r="J307" s="435"/>
      <c r="K307" s="436"/>
      <c r="L307" s="436"/>
      <c r="M307" s="441"/>
      <c r="N307" s="57"/>
      <c r="O307" s="57"/>
      <c r="P307" s="60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</row>
    <row r="308" spans="1:27" ht="16.5">
      <c r="A308" s="57"/>
      <c r="B308" s="61">
        <v>303</v>
      </c>
      <c r="C308" s="146"/>
      <c r="D308" s="435"/>
      <c r="E308" s="436"/>
      <c r="F308" s="437"/>
      <c r="G308" s="438"/>
      <c r="H308" s="439"/>
      <c r="I308" s="440"/>
      <c r="J308" s="435"/>
      <c r="K308" s="436"/>
      <c r="L308" s="436"/>
      <c r="M308" s="441"/>
      <c r="N308" s="57"/>
      <c r="O308" s="57"/>
      <c r="P308" s="60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</row>
    <row r="309" spans="1:27" ht="16.5">
      <c r="A309" s="57"/>
      <c r="B309" s="61">
        <v>304</v>
      </c>
      <c r="C309" s="146"/>
      <c r="D309" s="435"/>
      <c r="E309" s="436"/>
      <c r="F309" s="437"/>
      <c r="G309" s="438"/>
      <c r="H309" s="439"/>
      <c r="I309" s="440"/>
      <c r="J309" s="435"/>
      <c r="K309" s="436"/>
      <c r="L309" s="436"/>
      <c r="M309" s="441"/>
      <c r="N309" s="57"/>
      <c r="O309" s="57"/>
      <c r="P309" s="60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</row>
    <row r="310" spans="1:27" ht="16.5">
      <c r="A310" s="57"/>
      <c r="B310" s="61">
        <v>305</v>
      </c>
      <c r="C310" s="146"/>
      <c r="D310" s="435"/>
      <c r="E310" s="436"/>
      <c r="F310" s="437"/>
      <c r="G310" s="438"/>
      <c r="H310" s="439"/>
      <c r="I310" s="440"/>
      <c r="J310" s="435"/>
      <c r="K310" s="436"/>
      <c r="L310" s="436"/>
      <c r="M310" s="441"/>
      <c r="N310" s="57"/>
      <c r="O310" s="57"/>
      <c r="P310" s="60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</row>
    <row r="311" spans="1:27" ht="16.5">
      <c r="A311" s="57"/>
      <c r="B311" s="61">
        <v>306</v>
      </c>
      <c r="C311" s="146"/>
      <c r="D311" s="435"/>
      <c r="E311" s="436"/>
      <c r="F311" s="437"/>
      <c r="G311" s="438"/>
      <c r="H311" s="439"/>
      <c r="I311" s="440"/>
      <c r="J311" s="435"/>
      <c r="K311" s="436"/>
      <c r="L311" s="436"/>
      <c r="M311" s="441"/>
      <c r="N311" s="57"/>
      <c r="O311" s="57"/>
      <c r="P311" s="60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</row>
    <row r="312" spans="1:27" ht="16.5">
      <c r="A312" s="57"/>
      <c r="B312" s="61">
        <v>307</v>
      </c>
      <c r="C312" s="146"/>
      <c r="D312" s="435"/>
      <c r="E312" s="436"/>
      <c r="F312" s="437"/>
      <c r="G312" s="438"/>
      <c r="H312" s="439"/>
      <c r="I312" s="440"/>
      <c r="J312" s="435"/>
      <c r="K312" s="436"/>
      <c r="L312" s="436"/>
      <c r="M312" s="441"/>
      <c r="N312" s="57"/>
      <c r="O312" s="57"/>
      <c r="P312" s="60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</row>
    <row r="313" spans="1:27" ht="16.5">
      <c r="A313" s="57"/>
      <c r="B313" s="61">
        <v>308</v>
      </c>
      <c r="C313" s="146"/>
      <c r="D313" s="435"/>
      <c r="E313" s="436"/>
      <c r="F313" s="437"/>
      <c r="G313" s="438"/>
      <c r="H313" s="439"/>
      <c r="I313" s="440"/>
      <c r="J313" s="435"/>
      <c r="K313" s="436"/>
      <c r="L313" s="436"/>
      <c r="M313" s="441"/>
      <c r="N313" s="57"/>
      <c r="O313" s="57"/>
      <c r="P313" s="60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</row>
    <row r="314" spans="1:27" ht="16.5">
      <c r="A314" s="57"/>
      <c r="B314" s="61">
        <v>309</v>
      </c>
      <c r="C314" s="146"/>
      <c r="D314" s="435"/>
      <c r="E314" s="436"/>
      <c r="F314" s="437"/>
      <c r="G314" s="438"/>
      <c r="H314" s="439"/>
      <c r="I314" s="440"/>
      <c r="J314" s="435"/>
      <c r="K314" s="436"/>
      <c r="L314" s="436"/>
      <c r="M314" s="441"/>
      <c r="N314" s="57"/>
      <c r="O314" s="57"/>
      <c r="P314" s="60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</row>
    <row r="315" spans="1:27" ht="16.5">
      <c r="A315" s="57"/>
      <c r="B315" s="61">
        <v>310</v>
      </c>
      <c r="C315" s="146"/>
      <c r="D315" s="435"/>
      <c r="E315" s="436"/>
      <c r="F315" s="437"/>
      <c r="G315" s="438"/>
      <c r="H315" s="439"/>
      <c r="I315" s="440"/>
      <c r="J315" s="435"/>
      <c r="K315" s="436"/>
      <c r="L315" s="436"/>
      <c r="M315" s="441"/>
      <c r="N315" s="57"/>
      <c r="O315" s="57"/>
      <c r="P315" s="60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</row>
    <row r="316" spans="1:27" ht="16.5">
      <c r="A316" s="57"/>
      <c r="B316" s="61">
        <v>311</v>
      </c>
      <c r="C316" s="146"/>
      <c r="D316" s="435"/>
      <c r="E316" s="436"/>
      <c r="F316" s="437"/>
      <c r="G316" s="438"/>
      <c r="H316" s="439"/>
      <c r="I316" s="440"/>
      <c r="J316" s="435"/>
      <c r="K316" s="436"/>
      <c r="L316" s="436"/>
      <c r="M316" s="441"/>
      <c r="N316" s="57"/>
      <c r="O316" s="57"/>
      <c r="P316" s="60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</row>
    <row r="317" spans="1:27" ht="16.5">
      <c r="A317" s="57"/>
      <c r="B317" s="61">
        <v>312</v>
      </c>
      <c r="C317" s="146"/>
      <c r="D317" s="435"/>
      <c r="E317" s="436"/>
      <c r="F317" s="437"/>
      <c r="G317" s="438"/>
      <c r="H317" s="439"/>
      <c r="I317" s="440"/>
      <c r="J317" s="435"/>
      <c r="K317" s="436"/>
      <c r="L317" s="436"/>
      <c r="M317" s="441"/>
      <c r="N317" s="57"/>
      <c r="O317" s="57"/>
      <c r="P317" s="60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</row>
    <row r="318" spans="1:27" ht="16.5">
      <c r="A318" s="57"/>
      <c r="B318" s="61">
        <v>313</v>
      </c>
      <c r="C318" s="146"/>
      <c r="D318" s="435"/>
      <c r="E318" s="436"/>
      <c r="F318" s="437"/>
      <c r="G318" s="438"/>
      <c r="H318" s="439"/>
      <c r="I318" s="440"/>
      <c r="J318" s="435"/>
      <c r="K318" s="436"/>
      <c r="L318" s="436"/>
      <c r="M318" s="441"/>
      <c r="N318" s="57"/>
      <c r="O318" s="57"/>
      <c r="P318" s="60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</row>
    <row r="319" spans="1:27" ht="16.5">
      <c r="A319" s="57"/>
      <c r="B319" s="61">
        <v>314</v>
      </c>
      <c r="C319" s="146"/>
      <c r="D319" s="435"/>
      <c r="E319" s="436"/>
      <c r="F319" s="437"/>
      <c r="G319" s="438"/>
      <c r="H319" s="439"/>
      <c r="I319" s="440"/>
      <c r="J319" s="435"/>
      <c r="K319" s="436"/>
      <c r="L319" s="436"/>
      <c r="M319" s="441"/>
      <c r="N319" s="57"/>
      <c r="O319" s="57"/>
      <c r="P319" s="60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</row>
    <row r="320" spans="1:27" ht="16.5">
      <c r="A320" s="57"/>
      <c r="B320" s="61">
        <v>315</v>
      </c>
      <c r="C320" s="146"/>
      <c r="D320" s="435"/>
      <c r="E320" s="436"/>
      <c r="F320" s="437"/>
      <c r="G320" s="438"/>
      <c r="H320" s="439"/>
      <c r="I320" s="440"/>
      <c r="J320" s="435"/>
      <c r="K320" s="436"/>
      <c r="L320" s="436"/>
      <c r="M320" s="441"/>
      <c r="N320" s="57"/>
      <c r="O320" s="57"/>
      <c r="P320" s="60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</row>
    <row r="321" spans="1:27" ht="16.5">
      <c r="A321" s="57"/>
      <c r="B321" s="61">
        <v>316</v>
      </c>
      <c r="C321" s="146"/>
      <c r="D321" s="435"/>
      <c r="E321" s="436"/>
      <c r="F321" s="437"/>
      <c r="G321" s="438"/>
      <c r="H321" s="439"/>
      <c r="I321" s="440"/>
      <c r="J321" s="435"/>
      <c r="K321" s="436"/>
      <c r="L321" s="436"/>
      <c r="M321" s="441"/>
      <c r="N321" s="57"/>
      <c r="O321" s="57"/>
      <c r="P321" s="60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</row>
    <row r="322" spans="1:27" ht="16.5">
      <c r="A322" s="57"/>
      <c r="B322" s="61">
        <v>317</v>
      </c>
      <c r="C322" s="146"/>
      <c r="D322" s="435"/>
      <c r="E322" s="436"/>
      <c r="F322" s="437"/>
      <c r="G322" s="438"/>
      <c r="H322" s="439"/>
      <c r="I322" s="440"/>
      <c r="J322" s="435"/>
      <c r="K322" s="436"/>
      <c r="L322" s="436"/>
      <c r="M322" s="441"/>
      <c r="N322" s="57"/>
      <c r="O322" s="57"/>
      <c r="P322" s="60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</row>
    <row r="323" spans="1:27" ht="16.5">
      <c r="A323" s="57"/>
      <c r="B323" s="61">
        <v>318</v>
      </c>
      <c r="C323" s="146"/>
      <c r="D323" s="435"/>
      <c r="E323" s="436"/>
      <c r="F323" s="437"/>
      <c r="G323" s="438"/>
      <c r="H323" s="439"/>
      <c r="I323" s="440"/>
      <c r="J323" s="435"/>
      <c r="K323" s="436"/>
      <c r="L323" s="436"/>
      <c r="M323" s="441"/>
      <c r="N323" s="57"/>
      <c r="O323" s="57"/>
      <c r="P323" s="60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</row>
    <row r="324" spans="1:27" ht="16.5">
      <c r="A324" s="57"/>
      <c r="B324" s="61">
        <v>319</v>
      </c>
      <c r="C324" s="146"/>
      <c r="D324" s="435"/>
      <c r="E324" s="436"/>
      <c r="F324" s="437"/>
      <c r="G324" s="438"/>
      <c r="H324" s="439"/>
      <c r="I324" s="440"/>
      <c r="J324" s="435"/>
      <c r="K324" s="436"/>
      <c r="L324" s="436"/>
      <c r="M324" s="441"/>
      <c r="N324" s="57"/>
      <c r="O324" s="57"/>
      <c r="P324" s="60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</row>
    <row r="325" spans="1:27" ht="16.5">
      <c r="A325" s="57"/>
      <c r="B325" s="61">
        <v>320</v>
      </c>
      <c r="C325" s="146"/>
      <c r="D325" s="435"/>
      <c r="E325" s="436"/>
      <c r="F325" s="437"/>
      <c r="G325" s="438"/>
      <c r="H325" s="439"/>
      <c r="I325" s="440"/>
      <c r="J325" s="435"/>
      <c r="K325" s="436"/>
      <c r="L325" s="436"/>
      <c r="M325" s="441"/>
      <c r="N325" s="57"/>
      <c r="O325" s="57"/>
      <c r="P325" s="60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</row>
    <row r="326" spans="1:27" ht="16.5">
      <c r="A326" s="57"/>
      <c r="B326" s="61">
        <v>321</v>
      </c>
      <c r="C326" s="146"/>
      <c r="D326" s="435"/>
      <c r="E326" s="436"/>
      <c r="F326" s="437"/>
      <c r="G326" s="438"/>
      <c r="H326" s="439"/>
      <c r="I326" s="440"/>
      <c r="J326" s="435"/>
      <c r="K326" s="436"/>
      <c r="L326" s="436"/>
      <c r="M326" s="441"/>
      <c r="N326" s="57"/>
      <c r="O326" s="57"/>
      <c r="P326" s="60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</row>
    <row r="327" spans="1:27" ht="16.5">
      <c r="A327" s="57"/>
      <c r="B327" s="61">
        <v>322</v>
      </c>
      <c r="C327" s="146"/>
      <c r="D327" s="435"/>
      <c r="E327" s="436"/>
      <c r="F327" s="437"/>
      <c r="G327" s="438"/>
      <c r="H327" s="439"/>
      <c r="I327" s="440"/>
      <c r="J327" s="435"/>
      <c r="K327" s="436"/>
      <c r="L327" s="436"/>
      <c r="M327" s="441"/>
      <c r="N327" s="57"/>
      <c r="O327" s="57"/>
      <c r="P327" s="60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</row>
    <row r="328" spans="1:27" ht="16.5">
      <c r="A328" s="57"/>
      <c r="B328" s="61">
        <v>323</v>
      </c>
      <c r="C328" s="146"/>
      <c r="D328" s="435"/>
      <c r="E328" s="436"/>
      <c r="F328" s="437"/>
      <c r="G328" s="438"/>
      <c r="H328" s="439"/>
      <c r="I328" s="440"/>
      <c r="J328" s="435"/>
      <c r="K328" s="436"/>
      <c r="L328" s="436"/>
      <c r="M328" s="441"/>
      <c r="N328" s="57"/>
      <c r="O328" s="57"/>
      <c r="P328" s="60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</row>
    <row r="329" spans="1:27" ht="16.5">
      <c r="A329" s="57"/>
      <c r="B329" s="61">
        <v>324</v>
      </c>
      <c r="C329" s="146"/>
      <c r="D329" s="435"/>
      <c r="E329" s="436"/>
      <c r="F329" s="437"/>
      <c r="G329" s="438"/>
      <c r="H329" s="439"/>
      <c r="I329" s="440"/>
      <c r="J329" s="435"/>
      <c r="K329" s="436"/>
      <c r="L329" s="436"/>
      <c r="M329" s="441"/>
      <c r="N329" s="57"/>
      <c r="O329" s="57"/>
      <c r="P329" s="60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</row>
    <row r="330" spans="1:27" ht="16.5">
      <c r="A330" s="57"/>
      <c r="B330" s="61">
        <v>325</v>
      </c>
      <c r="C330" s="146"/>
      <c r="D330" s="435"/>
      <c r="E330" s="436"/>
      <c r="F330" s="437"/>
      <c r="G330" s="438"/>
      <c r="H330" s="439"/>
      <c r="I330" s="440"/>
      <c r="J330" s="435"/>
      <c r="K330" s="436"/>
      <c r="L330" s="436"/>
      <c r="M330" s="441"/>
      <c r="N330" s="57"/>
      <c r="O330" s="57"/>
      <c r="P330" s="60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</row>
    <row r="331" spans="1:27" ht="16.5">
      <c r="A331" s="57"/>
      <c r="B331" s="61">
        <v>326</v>
      </c>
      <c r="C331" s="146"/>
      <c r="D331" s="435"/>
      <c r="E331" s="436"/>
      <c r="F331" s="437"/>
      <c r="G331" s="438"/>
      <c r="H331" s="439"/>
      <c r="I331" s="440"/>
      <c r="J331" s="435"/>
      <c r="K331" s="436"/>
      <c r="L331" s="436"/>
      <c r="M331" s="441"/>
      <c r="N331" s="57"/>
      <c r="O331" s="57"/>
      <c r="P331" s="60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</row>
    <row r="332" spans="1:27" ht="16.5">
      <c r="A332" s="57"/>
      <c r="B332" s="61">
        <v>327</v>
      </c>
      <c r="C332" s="146"/>
      <c r="D332" s="435"/>
      <c r="E332" s="436"/>
      <c r="F332" s="437"/>
      <c r="G332" s="438"/>
      <c r="H332" s="439"/>
      <c r="I332" s="440"/>
      <c r="J332" s="435"/>
      <c r="K332" s="436"/>
      <c r="L332" s="436"/>
      <c r="M332" s="441"/>
      <c r="N332" s="57"/>
      <c r="O332" s="57"/>
      <c r="P332" s="60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</row>
    <row r="333" spans="1:27" ht="16.5">
      <c r="A333" s="57"/>
      <c r="B333" s="61">
        <v>328</v>
      </c>
      <c r="C333" s="146"/>
      <c r="D333" s="435"/>
      <c r="E333" s="436"/>
      <c r="F333" s="437"/>
      <c r="G333" s="438"/>
      <c r="H333" s="439"/>
      <c r="I333" s="440"/>
      <c r="J333" s="435"/>
      <c r="K333" s="436"/>
      <c r="L333" s="436"/>
      <c r="M333" s="441"/>
      <c r="N333" s="57"/>
      <c r="O333" s="57"/>
      <c r="P333" s="60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</row>
    <row r="334" spans="1:27" ht="16.5">
      <c r="A334" s="57"/>
      <c r="B334" s="61">
        <v>329</v>
      </c>
      <c r="C334" s="146"/>
      <c r="D334" s="435"/>
      <c r="E334" s="436"/>
      <c r="F334" s="437"/>
      <c r="G334" s="438"/>
      <c r="H334" s="439"/>
      <c r="I334" s="440"/>
      <c r="J334" s="435"/>
      <c r="K334" s="436"/>
      <c r="L334" s="436"/>
      <c r="M334" s="441"/>
      <c r="N334" s="57"/>
      <c r="O334" s="57"/>
      <c r="P334" s="60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</row>
    <row r="335" spans="1:27" ht="16.5">
      <c r="A335" s="57"/>
      <c r="B335" s="61">
        <v>330</v>
      </c>
      <c r="C335" s="146"/>
      <c r="D335" s="435"/>
      <c r="E335" s="436"/>
      <c r="F335" s="437"/>
      <c r="G335" s="438"/>
      <c r="H335" s="439"/>
      <c r="I335" s="440"/>
      <c r="J335" s="435"/>
      <c r="K335" s="436"/>
      <c r="L335" s="436"/>
      <c r="M335" s="441"/>
      <c r="N335" s="57"/>
      <c r="O335" s="57"/>
      <c r="P335" s="60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</row>
    <row r="336" spans="1:27" ht="16.5">
      <c r="A336" s="57"/>
      <c r="B336" s="61">
        <v>331</v>
      </c>
      <c r="C336" s="146"/>
      <c r="D336" s="435"/>
      <c r="E336" s="436"/>
      <c r="F336" s="437"/>
      <c r="G336" s="438"/>
      <c r="H336" s="439"/>
      <c r="I336" s="440"/>
      <c r="J336" s="435"/>
      <c r="K336" s="436"/>
      <c r="L336" s="436"/>
      <c r="M336" s="441"/>
      <c r="N336" s="57"/>
      <c r="O336" s="57"/>
      <c r="P336" s="60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</row>
    <row r="337" spans="1:27" ht="16.5">
      <c r="A337" s="57"/>
      <c r="B337" s="61">
        <v>332</v>
      </c>
      <c r="C337" s="146"/>
      <c r="D337" s="435"/>
      <c r="E337" s="436"/>
      <c r="F337" s="437"/>
      <c r="G337" s="438"/>
      <c r="H337" s="439"/>
      <c r="I337" s="440"/>
      <c r="J337" s="435"/>
      <c r="K337" s="436"/>
      <c r="L337" s="436"/>
      <c r="M337" s="441"/>
      <c r="N337" s="57"/>
      <c r="O337" s="57"/>
      <c r="P337" s="60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</row>
    <row r="338" spans="1:27" ht="16.5">
      <c r="A338" s="57"/>
      <c r="B338" s="61">
        <v>333</v>
      </c>
      <c r="C338" s="146"/>
      <c r="D338" s="435"/>
      <c r="E338" s="436"/>
      <c r="F338" s="437"/>
      <c r="G338" s="438"/>
      <c r="H338" s="439"/>
      <c r="I338" s="440"/>
      <c r="J338" s="435"/>
      <c r="K338" s="436"/>
      <c r="L338" s="436"/>
      <c r="M338" s="441"/>
      <c r="N338" s="57"/>
      <c r="O338" s="57"/>
      <c r="P338" s="60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</row>
    <row r="339" spans="1:27" ht="16.5">
      <c r="A339" s="57"/>
      <c r="B339" s="61">
        <v>334</v>
      </c>
      <c r="C339" s="146"/>
      <c r="D339" s="435"/>
      <c r="E339" s="436"/>
      <c r="F339" s="437"/>
      <c r="G339" s="438"/>
      <c r="H339" s="439"/>
      <c r="I339" s="440"/>
      <c r="J339" s="435"/>
      <c r="K339" s="436"/>
      <c r="L339" s="436"/>
      <c r="M339" s="441"/>
      <c r="N339" s="57"/>
      <c r="O339" s="57"/>
      <c r="P339" s="60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</row>
    <row r="340" spans="1:27" ht="16.5">
      <c r="A340" s="57"/>
      <c r="B340" s="61">
        <v>335</v>
      </c>
      <c r="C340" s="146"/>
      <c r="D340" s="435"/>
      <c r="E340" s="436"/>
      <c r="F340" s="437"/>
      <c r="G340" s="438"/>
      <c r="H340" s="439"/>
      <c r="I340" s="440"/>
      <c r="J340" s="435"/>
      <c r="K340" s="436"/>
      <c r="L340" s="436"/>
      <c r="M340" s="441"/>
      <c r="N340" s="57"/>
      <c r="O340" s="57"/>
      <c r="P340" s="60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</row>
    <row r="341" spans="1:27" ht="16.5">
      <c r="A341" s="57"/>
      <c r="B341" s="61">
        <v>336</v>
      </c>
      <c r="C341" s="146"/>
      <c r="D341" s="435"/>
      <c r="E341" s="436"/>
      <c r="F341" s="437"/>
      <c r="G341" s="438"/>
      <c r="H341" s="439"/>
      <c r="I341" s="440"/>
      <c r="J341" s="435"/>
      <c r="K341" s="436"/>
      <c r="L341" s="436"/>
      <c r="M341" s="441"/>
      <c r="N341" s="57"/>
      <c r="O341" s="57"/>
      <c r="P341" s="60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</row>
    <row r="342" spans="1:27" ht="16.5">
      <c r="A342" s="57"/>
      <c r="B342" s="61">
        <v>337</v>
      </c>
      <c r="C342" s="146"/>
      <c r="D342" s="435"/>
      <c r="E342" s="436"/>
      <c r="F342" s="437"/>
      <c r="G342" s="438"/>
      <c r="H342" s="439"/>
      <c r="I342" s="440"/>
      <c r="J342" s="435"/>
      <c r="K342" s="436"/>
      <c r="L342" s="436"/>
      <c r="M342" s="441"/>
      <c r="N342" s="57"/>
      <c r="O342" s="57"/>
      <c r="P342" s="60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</row>
    <row r="343" spans="1:27" ht="16.5">
      <c r="A343" s="57"/>
      <c r="B343" s="61">
        <v>338</v>
      </c>
      <c r="C343" s="146"/>
      <c r="D343" s="435"/>
      <c r="E343" s="436"/>
      <c r="F343" s="437"/>
      <c r="G343" s="438"/>
      <c r="H343" s="439"/>
      <c r="I343" s="440"/>
      <c r="J343" s="435"/>
      <c r="K343" s="436"/>
      <c r="L343" s="436"/>
      <c r="M343" s="441"/>
      <c r="N343" s="57"/>
      <c r="O343" s="57"/>
      <c r="P343" s="60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</row>
    <row r="344" spans="1:27" ht="16.5">
      <c r="A344" s="57"/>
      <c r="B344" s="61">
        <v>339</v>
      </c>
      <c r="C344" s="146"/>
      <c r="D344" s="435"/>
      <c r="E344" s="436"/>
      <c r="F344" s="437"/>
      <c r="G344" s="438"/>
      <c r="H344" s="439"/>
      <c r="I344" s="440"/>
      <c r="J344" s="435"/>
      <c r="K344" s="436"/>
      <c r="L344" s="436"/>
      <c r="M344" s="441"/>
      <c r="N344" s="57"/>
      <c r="O344" s="57"/>
      <c r="P344" s="60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</row>
    <row r="345" spans="1:27" ht="16.5">
      <c r="A345" s="57"/>
      <c r="B345" s="61">
        <v>340</v>
      </c>
      <c r="C345" s="146"/>
      <c r="D345" s="435"/>
      <c r="E345" s="436"/>
      <c r="F345" s="437"/>
      <c r="G345" s="438"/>
      <c r="H345" s="439"/>
      <c r="I345" s="440"/>
      <c r="J345" s="435"/>
      <c r="K345" s="436"/>
      <c r="L345" s="436"/>
      <c r="M345" s="441"/>
      <c r="N345" s="57"/>
      <c r="O345" s="57"/>
      <c r="P345" s="60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</row>
    <row r="346" spans="1:27" ht="16.5">
      <c r="A346" s="57"/>
      <c r="B346" s="61">
        <v>341</v>
      </c>
      <c r="C346" s="146"/>
      <c r="D346" s="435"/>
      <c r="E346" s="436"/>
      <c r="F346" s="437"/>
      <c r="G346" s="438"/>
      <c r="H346" s="439"/>
      <c r="I346" s="440"/>
      <c r="J346" s="435"/>
      <c r="K346" s="436"/>
      <c r="L346" s="436"/>
      <c r="M346" s="441"/>
      <c r="N346" s="57"/>
      <c r="O346" s="57"/>
      <c r="P346" s="60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</row>
    <row r="347" spans="1:27" ht="16.5">
      <c r="A347" s="57"/>
      <c r="B347" s="61">
        <v>342</v>
      </c>
      <c r="C347" s="146"/>
      <c r="D347" s="435"/>
      <c r="E347" s="436"/>
      <c r="F347" s="437"/>
      <c r="G347" s="438"/>
      <c r="H347" s="439"/>
      <c r="I347" s="440"/>
      <c r="J347" s="435"/>
      <c r="K347" s="436"/>
      <c r="L347" s="436"/>
      <c r="M347" s="441"/>
      <c r="N347" s="57"/>
      <c r="O347" s="57"/>
      <c r="P347" s="60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</row>
    <row r="348" spans="1:27" ht="16.5">
      <c r="A348" s="57"/>
      <c r="B348" s="61">
        <v>343</v>
      </c>
      <c r="C348" s="146"/>
      <c r="D348" s="435"/>
      <c r="E348" s="436"/>
      <c r="F348" s="437"/>
      <c r="G348" s="438"/>
      <c r="H348" s="439"/>
      <c r="I348" s="440"/>
      <c r="J348" s="435"/>
      <c r="K348" s="436"/>
      <c r="L348" s="436"/>
      <c r="M348" s="441"/>
      <c r="N348" s="57"/>
      <c r="O348" s="57"/>
      <c r="P348" s="60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</row>
    <row r="349" spans="1:27" ht="16.5">
      <c r="A349" s="57"/>
      <c r="B349" s="61">
        <v>344</v>
      </c>
      <c r="C349" s="146"/>
      <c r="D349" s="435"/>
      <c r="E349" s="436"/>
      <c r="F349" s="437"/>
      <c r="G349" s="438"/>
      <c r="H349" s="439"/>
      <c r="I349" s="440"/>
      <c r="J349" s="435"/>
      <c r="K349" s="436"/>
      <c r="L349" s="436"/>
      <c r="M349" s="441"/>
      <c r="N349" s="57"/>
      <c r="O349" s="57"/>
      <c r="P349" s="60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</row>
    <row r="350" spans="1:27" ht="16.5">
      <c r="A350" s="57"/>
      <c r="B350" s="61">
        <v>345</v>
      </c>
      <c r="C350" s="146"/>
      <c r="D350" s="435"/>
      <c r="E350" s="436"/>
      <c r="F350" s="437"/>
      <c r="G350" s="438"/>
      <c r="H350" s="439"/>
      <c r="I350" s="440"/>
      <c r="J350" s="435"/>
      <c r="K350" s="436"/>
      <c r="L350" s="436"/>
      <c r="M350" s="441"/>
      <c r="N350" s="57"/>
      <c r="O350" s="57"/>
      <c r="P350" s="60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</row>
    <row r="351" spans="1:27" ht="16.5">
      <c r="A351" s="57"/>
      <c r="B351" s="61">
        <v>346</v>
      </c>
      <c r="C351" s="146"/>
      <c r="D351" s="435"/>
      <c r="E351" s="436"/>
      <c r="F351" s="437"/>
      <c r="G351" s="438"/>
      <c r="H351" s="439"/>
      <c r="I351" s="440"/>
      <c r="J351" s="435"/>
      <c r="K351" s="436"/>
      <c r="L351" s="436"/>
      <c r="M351" s="441"/>
      <c r="N351" s="57"/>
      <c r="O351" s="57"/>
      <c r="P351" s="60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</row>
    <row r="352" spans="1:27" ht="16.5">
      <c r="A352" s="57"/>
      <c r="B352" s="61">
        <v>347</v>
      </c>
      <c r="C352" s="146"/>
      <c r="D352" s="435"/>
      <c r="E352" s="436"/>
      <c r="F352" s="437"/>
      <c r="G352" s="438"/>
      <c r="H352" s="439"/>
      <c r="I352" s="440"/>
      <c r="J352" s="435"/>
      <c r="K352" s="436"/>
      <c r="L352" s="436"/>
      <c r="M352" s="441"/>
      <c r="N352" s="57"/>
      <c r="O352" s="57"/>
      <c r="P352" s="60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</row>
    <row r="353" spans="1:27" ht="16.5">
      <c r="A353" s="57"/>
      <c r="B353" s="61">
        <v>348</v>
      </c>
      <c r="C353" s="146"/>
      <c r="D353" s="435"/>
      <c r="E353" s="436"/>
      <c r="F353" s="437"/>
      <c r="G353" s="438"/>
      <c r="H353" s="439"/>
      <c r="I353" s="440"/>
      <c r="J353" s="435"/>
      <c r="K353" s="436"/>
      <c r="L353" s="436"/>
      <c r="M353" s="441"/>
      <c r="N353" s="57"/>
      <c r="O353" s="57"/>
      <c r="P353" s="60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</row>
    <row r="354" spans="1:27" ht="16.5">
      <c r="A354" s="57"/>
      <c r="B354" s="61">
        <v>349</v>
      </c>
      <c r="C354" s="146"/>
      <c r="D354" s="435"/>
      <c r="E354" s="436"/>
      <c r="F354" s="437"/>
      <c r="G354" s="438"/>
      <c r="H354" s="439"/>
      <c r="I354" s="440"/>
      <c r="J354" s="435"/>
      <c r="K354" s="436"/>
      <c r="L354" s="436"/>
      <c r="M354" s="441"/>
      <c r="N354" s="57"/>
      <c r="O354" s="57"/>
      <c r="P354" s="60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</row>
    <row r="355" spans="1:27" ht="16.5">
      <c r="A355" s="57"/>
      <c r="B355" s="61">
        <v>350</v>
      </c>
      <c r="C355" s="146"/>
      <c r="D355" s="435"/>
      <c r="E355" s="436"/>
      <c r="F355" s="437"/>
      <c r="G355" s="438"/>
      <c r="H355" s="439"/>
      <c r="I355" s="440"/>
      <c r="J355" s="435"/>
      <c r="K355" s="436"/>
      <c r="L355" s="436"/>
      <c r="M355" s="441"/>
      <c r="N355" s="57"/>
      <c r="O355" s="57"/>
      <c r="P355" s="60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</row>
    <row r="356" spans="1:27" ht="16.5">
      <c r="A356" s="57"/>
      <c r="B356" s="61">
        <v>351</v>
      </c>
      <c r="C356" s="146"/>
      <c r="D356" s="435"/>
      <c r="E356" s="436"/>
      <c r="F356" s="437"/>
      <c r="G356" s="438"/>
      <c r="H356" s="439"/>
      <c r="I356" s="440"/>
      <c r="J356" s="435"/>
      <c r="K356" s="436"/>
      <c r="L356" s="436"/>
      <c r="M356" s="441"/>
      <c r="N356" s="57"/>
      <c r="O356" s="57"/>
      <c r="P356" s="60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</row>
    <row r="357" spans="1:27" ht="16.5">
      <c r="A357" s="57"/>
      <c r="B357" s="61">
        <v>352</v>
      </c>
      <c r="C357" s="146"/>
      <c r="D357" s="435"/>
      <c r="E357" s="436"/>
      <c r="F357" s="437"/>
      <c r="G357" s="438"/>
      <c r="H357" s="439"/>
      <c r="I357" s="440"/>
      <c r="J357" s="435"/>
      <c r="K357" s="436"/>
      <c r="L357" s="436"/>
      <c r="M357" s="441"/>
      <c r="N357" s="57"/>
      <c r="O357" s="57"/>
      <c r="P357" s="60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</row>
    <row r="358" spans="1:27" ht="16.5">
      <c r="A358" s="57"/>
      <c r="B358" s="61">
        <v>353</v>
      </c>
      <c r="C358" s="146"/>
      <c r="D358" s="435"/>
      <c r="E358" s="436"/>
      <c r="F358" s="437"/>
      <c r="G358" s="438"/>
      <c r="H358" s="439"/>
      <c r="I358" s="440"/>
      <c r="J358" s="435"/>
      <c r="K358" s="436"/>
      <c r="L358" s="436"/>
      <c r="M358" s="441"/>
      <c r="N358" s="57"/>
      <c r="O358" s="57"/>
      <c r="P358" s="60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</row>
    <row r="359" spans="1:27" ht="16.5">
      <c r="A359" s="57"/>
      <c r="B359" s="61">
        <v>354</v>
      </c>
      <c r="C359" s="146"/>
      <c r="D359" s="435"/>
      <c r="E359" s="436"/>
      <c r="F359" s="437"/>
      <c r="G359" s="438"/>
      <c r="H359" s="439"/>
      <c r="I359" s="440"/>
      <c r="J359" s="435"/>
      <c r="K359" s="436"/>
      <c r="L359" s="436"/>
      <c r="M359" s="441"/>
      <c r="N359" s="57"/>
      <c r="O359" s="57"/>
      <c r="P359" s="60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</row>
    <row r="360" spans="1:27" ht="16.5">
      <c r="A360" s="57"/>
      <c r="B360" s="61">
        <v>355</v>
      </c>
      <c r="C360" s="146"/>
      <c r="D360" s="435"/>
      <c r="E360" s="436"/>
      <c r="F360" s="437"/>
      <c r="G360" s="438"/>
      <c r="H360" s="439"/>
      <c r="I360" s="440"/>
      <c r="J360" s="435"/>
      <c r="K360" s="436"/>
      <c r="L360" s="436"/>
      <c r="M360" s="441"/>
      <c r="N360" s="57"/>
      <c r="O360" s="57"/>
      <c r="P360" s="60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</row>
    <row r="361" spans="1:27" ht="16.5">
      <c r="A361" s="57"/>
      <c r="B361" s="61">
        <v>356</v>
      </c>
      <c r="C361" s="146"/>
      <c r="D361" s="435"/>
      <c r="E361" s="436"/>
      <c r="F361" s="437"/>
      <c r="G361" s="438"/>
      <c r="H361" s="439"/>
      <c r="I361" s="440"/>
      <c r="J361" s="435"/>
      <c r="K361" s="436"/>
      <c r="L361" s="436"/>
      <c r="M361" s="441"/>
      <c r="N361" s="57"/>
      <c r="O361" s="57"/>
      <c r="P361" s="60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</row>
    <row r="362" spans="1:27" ht="16.5">
      <c r="A362" s="57"/>
      <c r="B362" s="61">
        <v>357</v>
      </c>
      <c r="C362" s="146"/>
      <c r="D362" s="435"/>
      <c r="E362" s="436"/>
      <c r="F362" s="437"/>
      <c r="G362" s="438"/>
      <c r="H362" s="439"/>
      <c r="I362" s="440"/>
      <c r="J362" s="435"/>
      <c r="K362" s="436"/>
      <c r="L362" s="436"/>
      <c r="M362" s="441"/>
      <c r="N362" s="57"/>
      <c r="O362" s="57"/>
      <c r="P362" s="60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</row>
    <row r="363" spans="1:27" ht="16.5">
      <c r="A363" s="57"/>
      <c r="B363" s="61">
        <v>358</v>
      </c>
      <c r="C363" s="146"/>
      <c r="D363" s="435"/>
      <c r="E363" s="436"/>
      <c r="F363" s="437"/>
      <c r="G363" s="438"/>
      <c r="H363" s="439"/>
      <c r="I363" s="440"/>
      <c r="J363" s="435"/>
      <c r="K363" s="436"/>
      <c r="L363" s="436"/>
      <c r="M363" s="441"/>
      <c r="N363" s="57"/>
      <c r="O363" s="57"/>
      <c r="P363" s="60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</row>
    <row r="364" spans="1:27" ht="16.5">
      <c r="A364" s="57"/>
      <c r="B364" s="61">
        <v>359</v>
      </c>
      <c r="C364" s="146"/>
      <c r="D364" s="435"/>
      <c r="E364" s="436"/>
      <c r="F364" s="437"/>
      <c r="G364" s="438"/>
      <c r="H364" s="439"/>
      <c r="I364" s="440"/>
      <c r="J364" s="435"/>
      <c r="K364" s="436"/>
      <c r="L364" s="436"/>
      <c r="M364" s="441"/>
      <c r="N364" s="57"/>
      <c r="O364" s="57"/>
      <c r="P364" s="60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</row>
    <row r="365" spans="1:27" ht="16.5">
      <c r="A365" s="57"/>
      <c r="B365" s="61">
        <v>360</v>
      </c>
      <c r="C365" s="146"/>
      <c r="D365" s="435"/>
      <c r="E365" s="436"/>
      <c r="F365" s="437"/>
      <c r="G365" s="438"/>
      <c r="H365" s="439"/>
      <c r="I365" s="440"/>
      <c r="J365" s="435"/>
      <c r="K365" s="436"/>
      <c r="L365" s="436"/>
      <c r="M365" s="441"/>
      <c r="N365" s="57"/>
      <c r="O365" s="57"/>
      <c r="P365" s="60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</row>
    <row r="366" spans="1:27" ht="16.5">
      <c r="A366" s="57"/>
      <c r="B366" s="61">
        <v>361</v>
      </c>
      <c r="C366" s="146"/>
      <c r="D366" s="435"/>
      <c r="E366" s="436"/>
      <c r="F366" s="437"/>
      <c r="G366" s="438"/>
      <c r="H366" s="439"/>
      <c r="I366" s="440"/>
      <c r="J366" s="435"/>
      <c r="K366" s="436"/>
      <c r="L366" s="436"/>
      <c r="M366" s="441"/>
      <c r="N366" s="57"/>
      <c r="O366" s="57"/>
      <c r="P366" s="60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</row>
    <row r="367" spans="1:27" ht="16.5">
      <c r="A367" s="57"/>
      <c r="B367" s="61">
        <v>362</v>
      </c>
      <c r="C367" s="146"/>
      <c r="D367" s="435"/>
      <c r="E367" s="436"/>
      <c r="F367" s="437"/>
      <c r="G367" s="438"/>
      <c r="H367" s="439"/>
      <c r="I367" s="440"/>
      <c r="J367" s="435"/>
      <c r="K367" s="436"/>
      <c r="L367" s="436"/>
      <c r="M367" s="441"/>
      <c r="N367" s="57"/>
      <c r="O367" s="57"/>
      <c r="P367" s="60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</row>
    <row r="368" spans="1:27" ht="16.5">
      <c r="A368" s="57"/>
      <c r="B368" s="61">
        <v>363</v>
      </c>
      <c r="C368" s="146"/>
      <c r="D368" s="435"/>
      <c r="E368" s="436"/>
      <c r="F368" s="437"/>
      <c r="G368" s="438"/>
      <c r="H368" s="439"/>
      <c r="I368" s="440"/>
      <c r="J368" s="435"/>
      <c r="K368" s="436"/>
      <c r="L368" s="436"/>
      <c r="M368" s="441"/>
      <c r="N368" s="57"/>
      <c r="O368" s="57"/>
      <c r="P368" s="60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</row>
    <row r="369" spans="1:27" ht="16.5">
      <c r="A369" s="57"/>
      <c r="B369" s="61">
        <v>364</v>
      </c>
      <c r="C369" s="146"/>
      <c r="D369" s="435"/>
      <c r="E369" s="436"/>
      <c r="F369" s="437"/>
      <c r="G369" s="438"/>
      <c r="H369" s="439"/>
      <c r="I369" s="440"/>
      <c r="J369" s="435"/>
      <c r="K369" s="436"/>
      <c r="L369" s="436"/>
      <c r="M369" s="441"/>
      <c r="N369" s="57"/>
      <c r="O369" s="57"/>
      <c r="P369" s="60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</row>
    <row r="370" spans="1:27" ht="16.5">
      <c r="A370" s="57"/>
      <c r="B370" s="61">
        <v>365</v>
      </c>
      <c r="C370" s="146"/>
      <c r="D370" s="435"/>
      <c r="E370" s="436"/>
      <c r="F370" s="437"/>
      <c r="G370" s="438"/>
      <c r="H370" s="439"/>
      <c r="I370" s="440"/>
      <c r="J370" s="435"/>
      <c r="K370" s="436"/>
      <c r="L370" s="436"/>
      <c r="M370" s="441"/>
      <c r="N370" s="57"/>
      <c r="O370" s="57"/>
      <c r="P370" s="60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</row>
    <row r="371" spans="1:27" ht="16.5">
      <c r="A371" s="57"/>
      <c r="B371" s="61">
        <v>366</v>
      </c>
      <c r="C371" s="146"/>
      <c r="D371" s="435"/>
      <c r="E371" s="436"/>
      <c r="F371" s="437"/>
      <c r="G371" s="438"/>
      <c r="H371" s="439"/>
      <c r="I371" s="440"/>
      <c r="J371" s="435"/>
      <c r="K371" s="436"/>
      <c r="L371" s="436"/>
      <c r="M371" s="441"/>
      <c r="N371" s="57"/>
      <c r="O371" s="57"/>
      <c r="P371" s="60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</row>
    <row r="372" spans="1:27" ht="16.5">
      <c r="A372" s="57"/>
      <c r="B372" s="61">
        <v>367</v>
      </c>
      <c r="C372" s="146"/>
      <c r="D372" s="435"/>
      <c r="E372" s="436"/>
      <c r="F372" s="437"/>
      <c r="G372" s="438"/>
      <c r="H372" s="439"/>
      <c r="I372" s="440"/>
      <c r="J372" s="435"/>
      <c r="K372" s="436"/>
      <c r="L372" s="436"/>
      <c r="M372" s="441"/>
      <c r="N372" s="57"/>
      <c r="O372" s="57"/>
      <c r="P372" s="60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</row>
    <row r="373" spans="1:27" ht="16.5">
      <c r="A373" s="57"/>
      <c r="B373" s="61">
        <v>368</v>
      </c>
      <c r="C373" s="146"/>
      <c r="D373" s="435"/>
      <c r="E373" s="436"/>
      <c r="F373" s="437"/>
      <c r="G373" s="438"/>
      <c r="H373" s="439"/>
      <c r="I373" s="440"/>
      <c r="J373" s="435"/>
      <c r="K373" s="436"/>
      <c r="L373" s="436"/>
      <c r="M373" s="441"/>
      <c r="N373" s="57"/>
      <c r="O373" s="57"/>
      <c r="P373" s="60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</row>
    <row r="374" spans="1:27" ht="16.5">
      <c r="A374" s="57"/>
      <c r="B374" s="61">
        <v>369</v>
      </c>
      <c r="C374" s="146"/>
      <c r="D374" s="435"/>
      <c r="E374" s="436"/>
      <c r="F374" s="437"/>
      <c r="G374" s="438"/>
      <c r="H374" s="439"/>
      <c r="I374" s="440"/>
      <c r="J374" s="435"/>
      <c r="K374" s="436"/>
      <c r="L374" s="436"/>
      <c r="M374" s="441"/>
      <c r="N374" s="57"/>
      <c r="O374" s="57"/>
      <c r="P374" s="60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</row>
    <row r="375" spans="1:27" ht="16.5">
      <c r="A375" s="57"/>
      <c r="B375" s="61">
        <v>370</v>
      </c>
      <c r="C375" s="146"/>
      <c r="D375" s="435"/>
      <c r="E375" s="436"/>
      <c r="F375" s="437"/>
      <c r="G375" s="438"/>
      <c r="H375" s="439"/>
      <c r="I375" s="440"/>
      <c r="J375" s="435"/>
      <c r="K375" s="436"/>
      <c r="L375" s="436"/>
      <c r="M375" s="441"/>
      <c r="N375" s="57"/>
      <c r="O375" s="57"/>
      <c r="P375" s="60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</row>
    <row r="376" spans="1:27" ht="16.5">
      <c r="A376" s="57"/>
      <c r="B376" s="61">
        <v>371</v>
      </c>
      <c r="C376" s="146"/>
      <c r="D376" s="435"/>
      <c r="E376" s="436"/>
      <c r="F376" s="437"/>
      <c r="G376" s="438"/>
      <c r="H376" s="439"/>
      <c r="I376" s="440"/>
      <c r="J376" s="435"/>
      <c r="K376" s="436"/>
      <c r="L376" s="436"/>
      <c r="M376" s="441"/>
      <c r="N376" s="57"/>
      <c r="O376" s="57"/>
      <c r="P376" s="60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</row>
    <row r="377" spans="1:27" ht="16.5">
      <c r="A377" s="57"/>
      <c r="B377" s="61">
        <v>372</v>
      </c>
      <c r="C377" s="146"/>
      <c r="D377" s="435"/>
      <c r="E377" s="436"/>
      <c r="F377" s="437"/>
      <c r="G377" s="438"/>
      <c r="H377" s="439"/>
      <c r="I377" s="440"/>
      <c r="J377" s="435"/>
      <c r="K377" s="436"/>
      <c r="L377" s="436"/>
      <c r="M377" s="441"/>
      <c r="N377" s="57"/>
      <c r="O377" s="57"/>
      <c r="P377" s="60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</row>
    <row r="378" spans="1:27" ht="16.5">
      <c r="A378" s="57"/>
      <c r="B378" s="61">
        <v>373</v>
      </c>
      <c r="C378" s="146"/>
      <c r="D378" s="435"/>
      <c r="E378" s="436"/>
      <c r="F378" s="437"/>
      <c r="G378" s="438"/>
      <c r="H378" s="439"/>
      <c r="I378" s="440"/>
      <c r="J378" s="435"/>
      <c r="K378" s="436"/>
      <c r="L378" s="436"/>
      <c r="M378" s="441"/>
      <c r="N378" s="57"/>
      <c r="O378" s="57"/>
      <c r="P378" s="60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</row>
    <row r="379" spans="1:27" ht="16.5">
      <c r="A379" s="57"/>
      <c r="B379" s="61">
        <v>374</v>
      </c>
      <c r="C379" s="146"/>
      <c r="D379" s="435"/>
      <c r="E379" s="436"/>
      <c r="F379" s="437"/>
      <c r="G379" s="438"/>
      <c r="H379" s="439"/>
      <c r="I379" s="440"/>
      <c r="J379" s="435"/>
      <c r="K379" s="436"/>
      <c r="L379" s="436"/>
      <c r="M379" s="441"/>
      <c r="N379" s="57"/>
      <c r="O379" s="57"/>
      <c r="P379" s="60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</row>
    <row r="380" spans="1:27" ht="16.5">
      <c r="A380" s="57"/>
      <c r="B380" s="61">
        <v>375</v>
      </c>
      <c r="C380" s="146"/>
      <c r="D380" s="435"/>
      <c r="E380" s="436"/>
      <c r="F380" s="437"/>
      <c r="G380" s="438"/>
      <c r="H380" s="439"/>
      <c r="I380" s="440"/>
      <c r="J380" s="435"/>
      <c r="K380" s="436"/>
      <c r="L380" s="436"/>
      <c r="M380" s="441"/>
      <c r="N380" s="57"/>
      <c r="O380" s="57"/>
      <c r="P380" s="60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</row>
    <row r="381" spans="1:27" ht="16.5">
      <c r="A381" s="57"/>
      <c r="B381" s="61">
        <v>376</v>
      </c>
      <c r="C381" s="146"/>
      <c r="D381" s="435"/>
      <c r="E381" s="436"/>
      <c r="F381" s="437"/>
      <c r="G381" s="438"/>
      <c r="H381" s="439"/>
      <c r="I381" s="440"/>
      <c r="J381" s="435"/>
      <c r="K381" s="436"/>
      <c r="L381" s="436"/>
      <c r="M381" s="441"/>
      <c r="N381" s="57"/>
      <c r="O381" s="57"/>
      <c r="P381" s="60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</row>
    <row r="382" spans="1:27" ht="16.5">
      <c r="A382" s="57"/>
      <c r="B382" s="61">
        <v>377</v>
      </c>
      <c r="C382" s="146"/>
      <c r="D382" s="435"/>
      <c r="E382" s="436"/>
      <c r="F382" s="437"/>
      <c r="G382" s="438"/>
      <c r="H382" s="439"/>
      <c r="I382" s="440"/>
      <c r="J382" s="435"/>
      <c r="K382" s="436"/>
      <c r="L382" s="436"/>
      <c r="M382" s="441"/>
      <c r="N382" s="57"/>
      <c r="O382" s="57"/>
      <c r="P382" s="60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</row>
    <row r="383" spans="1:27" ht="16.5">
      <c r="A383" s="57"/>
      <c r="B383" s="61">
        <v>378</v>
      </c>
      <c r="C383" s="146"/>
      <c r="D383" s="435"/>
      <c r="E383" s="436"/>
      <c r="F383" s="437"/>
      <c r="G383" s="438"/>
      <c r="H383" s="439"/>
      <c r="I383" s="440"/>
      <c r="J383" s="435"/>
      <c r="K383" s="436"/>
      <c r="L383" s="436"/>
      <c r="M383" s="441"/>
      <c r="N383" s="57"/>
      <c r="O383" s="57"/>
      <c r="P383" s="60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</row>
    <row r="384" spans="1:27" ht="16.5">
      <c r="A384" s="57"/>
      <c r="B384" s="61">
        <v>379</v>
      </c>
      <c r="C384" s="146"/>
      <c r="D384" s="435"/>
      <c r="E384" s="436"/>
      <c r="F384" s="437"/>
      <c r="G384" s="438"/>
      <c r="H384" s="439"/>
      <c r="I384" s="440"/>
      <c r="J384" s="435"/>
      <c r="K384" s="436"/>
      <c r="L384" s="436"/>
      <c r="M384" s="441"/>
      <c r="N384" s="57"/>
      <c r="O384" s="57"/>
      <c r="P384" s="60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</row>
    <row r="385" spans="1:27" ht="16.5">
      <c r="A385" s="57"/>
      <c r="B385" s="61">
        <v>380</v>
      </c>
      <c r="C385" s="146"/>
      <c r="D385" s="435"/>
      <c r="E385" s="436"/>
      <c r="F385" s="437"/>
      <c r="G385" s="438"/>
      <c r="H385" s="439"/>
      <c r="I385" s="440"/>
      <c r="J385" s="435"/>
      <c r="K385" s="436"/>
      <c r="L385" s="436"/>
      <c r="M385" s="441"/>
      <c r="N385" s="57"/>
      <c r="O385" s="57"/>
      <c r="P385" s="60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</row>
    <row r="386" spans="1:27" ht="16.5">
      <c r="A386" s="57"/>
      <c r="B386" s="61">
        <v>381</v>
      </c>
      <c r="C386" s="146"/>
      <c r="D386" s="435"/>
      <c r="E386" s="436"/>
      <c r="F386" s="437"/>
      <c r="G386" s="438"/>
      <c r="H386" s="439"/>
      <c r="I386" s="440"/>
      <c r="J386" s="435"/>
      <c r="K386" s="436"/>
      <c r="L386" s="436"/>
      <c r="M386" s="441"/>
      <c r="N386" s="57"/>
      <c r="O386" s="57"/>
      <c r="P386" s="60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</row>
    <row r="387" spans="1:27" ht="16.5">
      <c r="A387" s="57"/>
      <c r="B387" s="61">
        <v>382</v>
      </c>
      <c r="C387" s="146"/>
      <c r="D387" s="435"/>
      <c r="E387" s="436"/>
      <c r="F387" s="437"/>
      <c r="G387" s="438"/>
      <c r="H387" s="439"/>
      <c r="I387" s="440"/>
      <c r="J387" s="435"/>
      <c r="K387" s="436"/>
      <c r="L387" s="436"/>
      <c r="M387" s="441"/>
      <c r="N387" s="57"/>
      <c r="O387" s="57"/>
      <c r="P387" s="60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</row>
    <row r="388" spans="1:27" ht="16.5">
      <c r="A388" s="57"/>
      <c r="B388" s="61">
        <v>383</v>
      </c>
      <c r="C388" s="146"/>
      <c r="D388" s="435"/>
      <c r="E388" s="436"/>
      <c r="F388" s="437"/>
      <c r="G388" s="438"/>
      <c r="H388" s="439"/>
      <c r="I388" s="440"/>
      <c r="J388" s="435"/>
      <c r="K388" s="436"/>
      <c r="L388" s="436"/>
      <c r="M388" s="441"/>
      <c r="N388" s="57"/>
      <c r="O388" s="57"/>
      <c r="P388" s="60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</row>
    <row r="389" spans="1:27" ht="16.5">
      <c r="A389" s="57"/>
      <c r="B389" s="61">
        <v>384</v>
      </c>
      <c r="C389" s="146"/>
      <c r="D389" s="435"/>
      <c r="E389" s="436"/>
      <c r="F389" s="437"/>
      <c r="G389" s="438"/>
      <c r="H389" s="439"/>
      <c r="I389" s="440"/>
      <c r="J389" s="435"/>
      <c r="K389" s="436"/>
      <c r="L389" s="436"/>
      <c r="M389" s="441"/>
      <c r="N389" s="57"/>
      <c r="O389" s="57"/>
      <c r="P389" s="60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</row>
    <row r="390" spans="1:27" ht="16.5">
      <c r="A390" s="57"/>
      <c r="B390" s="61">
        <v>385</v>
      </c>
      <c r="C390" s="146"/>
      <c r="D390" s="435"/>
      <c r="E390" s="436"/>
      <c r="F390" s="437"/>
      <c r="G390" s="438"/>
      <c r="H390" s="439"/>
      <c r="I390" s="440"/>
      <c r="J390" s="435"/>
      <c r="K390" s="436"/>
      <c r="L390" s="436"/>
      <c r="M390" s="441"/>
      <c r="N390" s="57"/>
      <c r="O390" s="57"/>
      <c r="P390" s="60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</row>
    <row r="391" spans="1:27" ht="16.5">
      <c r="A391" s="57"/>
      <c r="B391" s="61">
        <v>386</v>
      </c>
      <c r="C391" s="146"/>
      <c r="D391" s="435"/>
      <c r="E391" s="436"/>
      <c r="F391" s="437"/>
      <c r="G391" s="438"/>
      <c r="H391" s="439"/>
      <c r="I391" s="440"/>
      <c r="J391" s="435"/>
      <c r="K391" s="436"/>
      <c r="L391" s="436"/>
      <c r="M391" s="441"/>
      <c r="N391" s="57"/>
      <c r="O391" s="57"/>
      <c r="P391" s="60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</row>
    <row r="392" spans="1:27" ht="16.5">
      <c r="A392" s="57"/>
      <c r="B392" s="61">
        <v>387</v>
      </c>
      <c r="C392" s="146"/>
      <c r="D392" s="435"/>
      <c r="E392" s="436"/>
      <c r="F392" s="437"/>
      <c r="G392" s="438"/>
      <c r="H392" s="439"/>
      <c r="I392" s="440"/>
      <c r="J392" s="435"/>
      <c r="K392" s="436"/>
      <c r="L392" s="436"/>
      <c r="M392" s="441"/>
      <c r="N392" s="57"/>
      <c r="O392" s="57"/>
      <c r="P392" s="60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</row>
    <row r="393" spans="1:27" ht="16.5">
      <c r="A393" s="57"/>
      <c r="B393" s="61">
        <v>388</v>
      </c>
      <c r="C393" s="146"/>
      <c r="D393" s="435"/>
      <c r="E393" s="436"/>
      <c r="F393" s="437"/>
      <c r="G393" s="438"/>
      <c r="H393" s="439"/>
      <c r="I393" s="440"/>
      <c r="J393" s="435"/>
      <c r="K393" s="436"/>
      <c r="L393" s="436"/>
      <c r="M393" s="441"/>
      <c r="N393" s="57"/>
      <c r="O393" s="57"/>
      <c r="P393" s="60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</row>
    <row r="394" spans="1:27" ht="16.5">
      <c r="A394" s="57"/>
      <c r="B394" s="61">
        <v>389</v>
      </c>
      <c r="C394" s="146"/>
      <c r="D394" s="435"/>
      <c r="E394" s="436"/>
      <c r="F394" s="437"/>
      <c r="G394" s="438"/>
      <c r="H394" s="439"/>
      <c r="I394" s="440"/>
      <c r="J394" s="435"/>
      <c r="K394" s="436"/>
      <c r="L394" s="436"/>
      <c r="M394" s="441"/>
      <c r="N394" s="57"/>
      <c r="O394" s="57"/>
      <c r="P394" s="60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</row>
    <row r="395" spans="1:27" ht="16.5">
      <c r="A395" s="57"/>
      <c r="B395" s="61">
        <v>390</v>
      </c>
      <c r="C395" s="146"/>
      <c r="D395" s="435"/>
      <c r="E395" s="436"/>
      <c r="F395" s="437"/>
      <c r="G395" s="438"/>
      <c r="H395" s="439"/>
      <c r="I395" s="440"/>
      <c r="J395" s="435"/>
      <c r="K395" s="436"/>
      <c r="L395" s="436"/>
      <c r="M395" s="441"/>
      <c r="N395" s="57"/>
      <c r="O395" s="57"/>
      <c r="P395" s="60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</row>
    <row r="396" spans="1:27" ht="16.5">
      <c r="A396" s="57"/>
      <c r="B396" s="61">
        <v>391</v>
      </c>
      <c r="C396" s="146"/>
      <c r="D396" s="435"/>
      <c r="E396" s="436"/>
      <c r="F396" s="437"/>
      <c r="G396" s="438"/>
      <c r="H396" s="439"/>
      <c r="I396" s="440"/>
      <c r="J396" s="435"/>
      <c r="K396" s="436"/>
      <c r="L396" s="436"/>
      <c r="M396" s="441"/>
      <c r="N396" s="57"/>
      <c r="O396" s="57"/>
      <c r="P396" s="60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</row>
    <row r="397" spans="1:27" ht="16.5">
      <c r="A397" s="57"/>
      <c r="B397" s="61">
        <v>392</v>
      </c>
      <c r="C397" s="146"/>
      <c r="D397" s="435"/>
      <c r="E397" s="436"/>
      <c r="F397" s="437"/>
      <c r="G397" s="438"/>
      <c r="H397" s="439"/>
      <c r="I397" s="440"/>
      <c r="J397" s="435"/>
      <c r="K397" s="436"/>
      <c r="L397" s="436"/>
      <c r="M397" s="441"/>
      <c r="N397" s="57"/>
      <c r="O397" s="57"/>
      <c r="P397" s="60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</row>
    <row r="398" spans="1:27" ht="16.5">
      <c r="A398" s="57"/>
      <c r="B398" s="61">
        <v>393</v>
      </c>
      <c r="C398" s="146"/>
      <c r="D398" s="435"/>
      <c r="E398" s="436"/>
      <c r="F398" s="437"/>
      <c r="G398" s="438"/>
      <c r="H398" s="439"/>
      <c r="I398" s="440"/>
      <c r="J398" s="435"/>
      <c r="K398" s="436"/>
      <c r="L398" s="436"/>
      <c r="M398" s="441"/>
      <c r="N398" s="57"/>
      <c r="O398" s="57"/>
      <c r="P398" s="60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</row>
    <row r="399" spans="1:27" ht="16.5">
      <c r="A399" s="57"/>
      <c r="B399" s="61">
        <v>394</v>
      </c>
      <c r="C399" s="146"/>
      <c r="D399" s="435"/>
      <c r="E399" s="436"/>
      <c r="F399" s="437"/>
      <c r="G399" s="438"/>
      <c r="H399" s="439"/>
      <c r="I399" s="440"/>
      <c r="J399" s="435"/>
      <c r="K399" s="436"/>
      <c r="L399" s="436"/>
      <c r="M399" s="441"/>
      <c r="N399" s="57"/>
      <c r="O399" s="57"/>
      <c r="P399" s="60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</row>
    <row r="400" spans="1:27" ht="16.5">
      <c r="A400" s="57"/>
      <c r="B400" s="61">
        <v>395</v>
      </c>
      <c r="C400" s="146"/>
      <c r="D400" s="435"/>
      <c r="E400" s="436"/>
      <c r="F400" s="437"/>
      <c r="G400" s="438"/>
      <c r="H400" s="439"/>
      <c r="I400" s="440"/>
      <c r="J400" s="435"/>
      <c r="K400" s="436"/>
      <c r="L400" s="436"/>
      <c r="M400" s="441"/>
      <c r="N400" s="57"/>
      <c r="O400" s="57"/>
      <c r="P400" s="60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</row>
    <row r="401" spans="1:27" ht="16.5">
      <c r="A401" s="57"/>
      <c r="B401" s="61">
        <v>396</v>
      </c>
      <c r="C401" s="146"/>
      <c r="D401" s="435"/>
      <c r="E401" s="436"/>
      <c r="F401" s="437"/>
      <c r="G401" s="438"/>
      <c r="H401" s="439"/>
      <c r="I401" s="440"/>
      <c r="J401" s="435"/>
      <c r="K401" s="436"/>
      <c r="L401" s="436"/>
      <c r="M401" s="441"/>
      <c r="N401" s="57"/>
      <c r="O401" s="57"/>
      <c r="P401" s="60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</row>
    <row r="402" spans="1:27" ht="16.5">
      <c r="A402" s="57"/>
      <c r="B402" s="61">
        <v>397</v>
      </c>
      <c r="C402" s="146"/>
      <c r="D402" s="435"/>
      <c r="E402" s="436"/>
      <c r="F402" s="437"/>
      <c r="G402" s="438"/>
      <c r="H402" s="439"/>
      <c r="I402" s="440"/>
      <c r="J402" s="435"/>
      <c r="K402" s="436"/>
      <c r="L402" s="436"/>
      <c r="M402" s="441"/>
      <c r="N402" s="57"/>
      <c r="O402" s="57"/>
      <c r="P402" s="60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</row>
    <row r="403" spans="1:27" ht="16.5">
      <c r="A403" s="57"/>
      <c r="B403" s="61">
        <v>398</v>
      </c>
      <c r="C403" s="146"/>
      <c r="D403" s="435"/>
      <c r="E403" s="436"/>
      <c r="F403" s="437"/>
      <c r="G403" s="438"/>
      <c r="H403" s="439"/>
      <c r="I403" s="440"/>
      <c r="J403" s="435"/>
      <c r="K403" s="436"/>
      <c r="L403" s="436"/>
      <c r="M403" s="441"/>
      <c r="N403" s="57"/>
      <c r="O403" s="57"/>
      <c r="P403" s="60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</row>
    <row r="404" spans="1:27" ht="16.5">
      <c r="A404" s="57"/>
      <c r="B404" s="61">
        <v>399</v>
      </c>
      <c r="C404" s="146"/>
      <c r="D404" s="435"/>
      <c r="E404" s="436"/>
      <c r="F404" s="437"/>
      <c r="G404" s="438"/>
      <c r="H404" s="439"/>
      <c r="I404" s="440"/>
      <c r="J404" s="435"/>
      <c r="K404" s="436"/>
      <c r="L404" s="436"/>
      <c r="M404" s="441"/>
      <c r="N404" s="57"/>
      <c r="O404" s="57"/>
      <c r="P404" s="60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</row>
    <row r="405" spans="1:27" ht="16.5">
      <c r="A405" s="57"/>
      <c r="B405" s="61">
        <v>400</v>
      </c>
      <c r="C405" s="146"/>
      <c r="D405" s="435"/>
      <c r="E405" s="436"/>
      <c r="F405" s="437"/>
      <c r="G405" s="438"/>
      <c r="H405" s="439"/>
      <c r="I405" s="440"/>
      <c r="J405" s="435"/>
      <c r="K405" s="436"/>
      <c r="L405" s="436"/>
      <c r="M405" s="441"/>
      <c r="N405" s="57"/>
      <c r="O405" s="57"/>
      <c r="P405" s="60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</row>
    <row r="406" spans="1:27" ht="16.5">
      <c r="A406" s="57"/>
      <c r="B406" s="61">
        <v>401</v>
      </c>
      <c r="C406" s="146"/>
      <c r="D406" s="435"/>
      <c r="E406" s="436"/>
      <c r="F406" s="437"/>
      <c r="G406" s="438"/>
      <c r="H406" s="439"/>
      <c r="I406" s="440"/>
      <c r="J406" s="435"/>
      <c r="K406" s="436"/>
      <c r="L406" s="436"/>
      <c r="M406" s="441"/>
      <c r="N406" s="57"/>
      <c r="O406" s="57"/>
      <c r="P406" s="60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</row>
    <row r="407" spans="1:27" ht="16.5">
      <c r="A407" s="57"/>
      <c r="B407" s="61">
        <v>402</v>
      </c>
      <c r="C407" s="146"/>
      <c r="D407" s="435"/>
      <c r="E407" s="436"/>
      <c r="F407" s="437"/>
      <c r="G407" s="438"/>
      <c r="H407" s="439"/>
      <c r="I407" s="440"/>
      <c r="J407" s="435"/>
      <c r="K407" s="436"/>
      <c r="L407" s="436"/>
      <c r="M407" s="441"/>
      <c r="N407" s="57"/>
      <c r="O407" s="57"/>
      <c r="P407" s="60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</row>
    <row r="408" spans="1:27" ht="16.5">
      <c r="A408" s="57"/>
      <c r="B408" s="61">
        <v>403</v>
      </c>
      <c r="C408" s="146"/>
      <c r="D408" s="435"/>
      <c r="E408" s="436"/>
      <c r="F408" s="437"/>
      <c r="G408" s="438"/>
      <c r="H408" s="439"/>
      <c r="I408" s="440"/>
      <c r="J408" s="435"/>
      <c r="K408" s="436"/>
      <c r="L408" s="436"/>
      <c r="M408" s="441"/>
      <c r="N408" s="57"/>
      <c r="O408" s="57"/>
      <c r="P408" s="60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</row>
    <row r="409" spans="1:27" ht="16.5">
      <c r="A409" s="57"/>
      <c r="B409" s="61">
        <v>404</v>
      </c>
      <c r="C409" s="146"/>
      <c r="D409" s="435"/>
      <c r="E409" s="436"/>
      <c r="F409" s="437"/>
      <c r="G409" s="438"/>
      <c r="H409" s="439"/>
      <c r="I409" s="440"/>
      <c r="J409" s="435"/>
      <c r="K409" s="436"/>
      <c r="L409" s="436"/>
      <c r="M409" s="441"/>
      <c r="N409" s="57"/>
      <c r="O409" s="57"/>
      <c r="P409" s="60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</row>
    <row r="410" spans="1:27" ht="16.5">
      <c r="A410" s="57"/>
      <c r="B410" s="61">
        <v>405</v>
      </c>
      <c r="C410" s="146"/>
      <c r="D410" s="435"/>
      <c r="E410" s="436"/>
      <c r="F410" s="437"/>
      <c r="G410" s="438"/>
      <c r="H410" s="439"/>
      <c r="I410" s="440"/>
      <c r="J410" s="435"/>
      <c r="K410" s="436"/>
      <c r="L410" s="436"/>
      <c r="M410" s="441"/>
      <c r="N410" s="57"/>
      <c r="O410" s="57"/>
      <c r="P410" s="60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</row>
    <row r="411" spans="1:27" ht="16.5">
      <c r="A411" s="57"/>
      <c r="B411" s="61">
        <v>406</v>
      </c>
      <c r="C411" s="146"/>
      <c r="D411" s="435"/>
      <c r="E411" s="436"/>
      <c r="F411" s="437"/>
      <c r="G411" s="438"/>
      <c r="H411" s="439"/>
      <c r="I411" s="440"/>
      <c r="J411" s="435"/>
      <c r="K411" s="436"/>
      <c r="L411" s="436"/>
      <c r="M411" s="441"/>
      <c r="N411" s="57"/>
      <c r="O411" s="57"/>
      <c r="P411" s="60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</row>
    <row r="412" spans="1:27" ht="16.5">
      <c r="A412" s="57"/>
      <c r="B412" s="61">
        <v>407</v>
      </c>
      <c r="C412" s="146"/>
      <c r="D412" s="435"/>
      <c r="E412" s="436"/>
      <c r="F412" s="437"/>
      <c r="G412" s="438"/>
      <c r="H412" s="439"/>
      <c r="I412" s="440"/>
      <c r="J412" s="435"/>
      <c r="K412" s="436"/>
      <c r="L412" s="436"/>
      <c r="M412" s="441"/>
      <c r="N412" s="57"/>
      <c r="O412" s="57"/>
      <c r="P412" s="60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</row>
    <row r="413" spans="1:27" ht="16.5">
      <c r="A413" s="57"/>
      <c r="B413" s="61">
        <v>408</v>
      </c>
      <c r="C413" s="146"/>
      <c r="D413" s="435"/>
      <c r="E413" s="436"/>
      <c r="F413" s="437"/>
      <c r="G413" s="438"/>
      <c r="H413" s="439"/>
      <c r="I413" s="440"/>
      <c r="J413" s="435"/>
      <c r="K413" s="436"/>
      <c r="L413" s="436"/>
      <c r="M413" s="441"/>
      <c r="N413" s="57"/>
      <c r="O413" s="57"/>
      <c r="P413" s="60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</row>
    <row r="414" spans="1:27" ht="16.5">
      <c r="A414" s="57"/>
      <c r="B414" s="61">
        <v>409</v>
      </c>
      <c r="C414" s="146"/>
      <c r="D414" s="435"/>
      <c r="E414" s="436"/>
      <c r="F414" s="437"/>
      <c r="G414" s="438"/>
      <c r="H414" s="439"/>
      <c r="I414" s="440"/>
      <c r="J414" s="435"/>
      <c r="K414" s="436"/>
      <c r="L414" s="436"/>
      <c r="M414" s="441"/>
      <c r="N414" s="57"/>
      <c r="O414" s="57"/>
      <c r="P414" s="60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</row>
    <row r="415" spans="1:27" ht="16.5">
      <c r="A415" s="57"/>
      <c r="B415" s="61">
        <v>410</v>
      </c>
      <c r="C415" s="146"/>
      <c r="D415" s="435"/>
      <c r="E415" s="436"/>
      <c r="F415" s="437"/>
      <c r="G415" s="438"/>
      <c r="H415" s="439"/>
      <c r="I415" s="440"/>
      <c r="J415" s="435"/>
      <c r="K415" s="436"/>
      <c r="L415" s="436"/>
      <c r="M415" s="441"/>
      <c r="N415" s="57"/>
      <c r="O415" s="57"/>
      <c r="P415" s="60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</row>
    <row r="416" spans="1:27" ht="16.5">
      <c r="A416" s="57"/>
      <c r="B416" s="61">
        <v>411</v>
      </c>
      <c r="C416" s="146"/>
      <c r="D416" s="435"/>
      <c r="E416" s="436"/>
      <c r="F416" s="437"/>
      <c r="G416" s="438"/>
      <c r="H416" s="439"/>
      <c r="I416" s="440"/>
      <c r="J416" s="435"/>
      <c r="K416" s="436"/>
      <c r="L416" s="436"/>
      <c r="M416" s="441"/>
      <c r="N416" s="57"/>
      <c r="O416" s="57"/>
      <c r="P416" s="60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</row>
    <row r="417" spans="1:27" ht="16.5">
      <c r="A417" s="57"/>
      <c r="B417" s="61">
        <v>412</v>
      </c>
      <c r="C417" s="146"/>
      <c r="D417" s="435"/>
      <c r="E417" s="436"/>
      <c r="F417" s="437"/>
      <c r="G417" s="438"/>
      <c r="H417" s="439"/>
      <c r="I417" s="440"/>
      <c r="J417" s="435"/>
      <c r="K417" s="436"/>
      <c r="L417" s="436"/>
      <c r="M417" s="441"/>
      <c r="N417" s="57"/>
      <c r="O417" s="57"/>
      <c r="P417" s="60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</row>
    <row r="418" spans="1:27" ht="16.5">
      <c r="A418" s="57"/>
      <c r="B418" s="61">
        <v>413</v>
      </c>
      <c r="C418" s="146"/>
      <c r="D418" s="435"/>
      <c r="E418" s="436"/>
      <c r="F418" s="437"/>
      <c r="G418" s="438"/>
      <c r="H418" s="439"/>
      <c r="I418" s="440"/>
      <c r="J418" s="435"/>
      <c r="K418" s="436"/>
      <c r="L418" s="436"/>
      <c r="M418" s="441"/>
      <c r="N418" s="57"/>
      <c r="O418" s="57"/>
      <c r="P418" s="60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</row>
    <row r="419" spans="1:27" ht="16.5">
      <c r="A419" s="57"/>
      <c r="B419" s="61">
        <v>414</v>
      </c>
      <c r="C419" s="146"/>
      <c r="D419" s="435"/>
      <c r="E419" s="436"/>
      <c r="F419" s="437"/>
      <c r="G419" s="438"/>
      <c r="H419" s="439"/>
      <c r="I419" s="440"/>
      <c r="J419" s="435"/>
      <c r="K419" s="436"/>
      <c r="L419" s="436"/>
      <c r="M419" s="441"/>
      <c r="N419" s="57"/>
      <c r="O419" s="57"/>
      <c r="P419" s="60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</row>
    <row r="420" spans="1:27" ht="16.5">
      <c r="A420" s="57"/>
      <c r="B420" s="61">
        <v>415</v>
      </c>
      <c r="C420" s="146"/>
      <c r="D420" s="435"/>
      <c r="E420" s="436"/>
      <c r="F420" s="437"/>
      <c r="G420" s="438"/>
      <c r="H420" s="439"/>
      <c r="I420" s="440"/>
      <c r="J420" s="435"/>
      <c r="K420" s="436"/>
      <c r="L420" s="436"/>
      <c r="M420" s="441"/>
      <c r="N420" s="57"/>
      <c r="O420" s="57"/>
      <c r="P420" s="60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</row>
    <row r="421" spans="1:27" ht="16.5">
      <c r="A421" s="57"/>
      <c r="B421" s="61">
        <v>416</v>
      </c>
      <c r="C421" s="146"/>
      <c r="D421" s="435"/>
      <c r="E421" s="436"/>
      <c r="F421" s="437"/>
      <c r="G421" s="438"/>
      <c r="H421" s="439"/>
      <c r="I421" s="440"/>
      <c r="J421" s="435"/>
      <c r="K421" s="436"/>
      <c r="L421" s="436"/>
      <c r="M421" s="441"/>
      <c r="N421" s="57"/>
      <c r="O421" s="57"/>
      <c r="P421" s="60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</row>
    <row r="422" spans="1:27" ht="16.5">
      <c r="A422" s="57"/>
      <c r="B422" s="61">
        <v>417</v>
      </c>
      <c r="C422" s="146"/>
      <c r="D422" s="435"/>
      <c r="E422" s="436"/>
      <c r="F422" s="437"/>
      <c r="G422" s="438"/>
      <c r="H422" s="439"/>
      <c r="I422" s="440"/>
      <c r="J422" s="435"/>
      <c r="K422" s="436"/>
      <c r="L422" s="436"/>
      <c r="M422" s="441"/>
      <c r="N422" s="57"/>
      <c r="O422" s="57"/>
      <c r="P422" s="60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</row>
    <row r="423" spans="1:27" ht="16.5">
      <c r="A423" s="57"/>
      <c r="B423" s="61">
        <v>418</v>
      </c>
      <c r="C423" s="146"/>
      <c r="D423" s="435"/>
      <c r="E423" s="436"/>
      <c r="F423" s="437"/>
      <c r="G423" s="438"/>
      <c r="H423" s="439"/>
      <c r="I423" s="440"/>
      <c r="J423" s="435"/>
      <c r="K423" s="436"/>
      <c r="L423" s="436"/>
      <c r="M423" s="441"/>
      <c r="N423" s="57"/>
      <c r="O423" s="57"/>
      <c r="P423" s="60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</row>
    <row r="424" spans="1:27" ht="16.5">
      <c r="A424" s="57"/>
      <c r="B424" s="61">
        <v>419</v>
      </c>
      <c r="C424" s="146"/>
      <c r="D424" s="435"/>
      <c r="E424" s="436"/>
      <c r="F424" s="437"/>
      <c r="G424" s="438"/>
      <c r="H424" s="439"/>
      <c r="I424" s="440"/>
      <c r="J424" s="435"/>
      <c r="K424" s="436"/>
      <c r="L424" s="436"/>
      <c r="M424" s="441"/>
      <c r="N424" s="57"/>
      <c r="O424" s="57"/>
      <c r="P424" s="60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</row>
    <row r="425" spans="1:27" ht="16.5">
      <c r="A425" s="57"/>
      <c r="B425" s="61">
        <v>420</v>
      </c>
      <c r="C425" s="146"/>
      <c r="D425" s="435"/>
      <c r="E425" s="436"/>
      <c r="F425" s="437"/>
      <c r="G425" s="438"/>
      <c r="H425" s="439"/>
      <c r="I425" s="440"/>
      <c r="J425" s="435"/>
      <c r="K425" s="436"/>
      <c r="L425" s="436"/>
      <c r="M425" s="441"/>
      <c r="N425" s="57"/>
      <c r="O425" s="57"/>
      <c r="P425" s="60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</row>
    <row r="426" spans="1:27" ht="16.5">
      <c r="A426" s="57"/>
      <c r="B426" s="61">
        <v>421</v>
      </c>
      <c r="C426" s="146"/>
      <c r="D426" s="435"/>
      <c r="E426" s="436"/>
      <c r="F426" s="437"/>
      <c r="G426" s="438"/>
      <c r="H426" s="439"/>
      <c r="I426" s="440"/>
      <c r="J426" s="435"/>
      <c r="K426" s="436"/>
      <c r="L426" s="436"/>
      <c r="M426" s="441"/>
      <c r="N426" s="57"/>
      <c r="O426" s="57"/>
      <c r="P426" s="60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</row>
    <row r="427" spans="1:27" ht="16.5">
      <c r="A427" s="57"/>
      <c r="B427" s="61">
        <v>422</v>
      </c>
      <c r="C427" s="146"/>
      <c r="D427" s="435"/>
      <c r="E427" s="436"/>
      <c r="F427" s="437"/>
      <c r="G427" s="438"/>
      <c r="H427" s="439"/>
      <c r="I427" s="440"/>
      <c r="J427" s="435"/>
      <c r="K427" s="436"/>
      <c r="L427" s="436"/>
      <c r="M427" s="441"/>
      <c r="N427" s="57"/>
      <c r="O427" s="57"/>
      <c r="P427" s="60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</row>
    <row r="428" spans="1:27" ht="16.5">
      <c r="A428" s="57"/>
      <c r="B428" s="61">
        <v>423</v>
      </c>
      <c r="C428" s="146"/>
      <c r="D428" s="435"/>
      <c r="E428" s="436"/>
      <c r="F428" s="437"/>
      <c r="G428" s="438"/>
      <c r="H428" s="439"/>
      <c r="I428" s="440"/>
      <c r="J428" s="435"/>
      <c r="K428" s="436"/>
      <c r="L428" s="436"/>
      <c r="M428" s="441"/>
      <c r="N428" s="57"/>
      <c r="O428" s="57"/>
      <c r="P428" s="60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</row>
    <row r="429" spans="1:27" ht="16.5">
      <c r="A429" s="57"/>
      <c r="B429" s="61">
        <v>424</v>
      </c>
      <c r="C429" s="146"/>
      <c r="D429" s="435"/>
      <c r="E429" s="436"/>
      <c r="F429" s="437"/>
      <c r="G429" s="438"/>
      <c r="H429" s="439"/>
      <c r="I429" s="440"/>
      <c r="J429" s="435"/>
      <c r="K429" s="436"/>
      <c r="L429" s="436"/>
      <c r="M429" s="441"/>
      <c r="N429" s="57"/>
      <c r="O429" s="57"/>
      <c r="P429" s="60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</row>
    <row r="430" spans="1:27" ht="16.5">
      <c r="A430" s="57"/>
      <c r="B430" s="61">
        <v>425</v>
      </c>
      <c r="C430" s="146"/>
      <c r="D430" s="435"/>
      <c r="E430" s="436"/>
      <c r="F430" s="437"/>
      <c r="G430" s="438"/>
      <c r="H430" s="439"/>
      <c r="I430" s="440"/>
      <c r="J430" s="435"/>
      <c r="K430" s="436"/>
      <c r="L430" s="436"/>
      <c r="M430" s="441"/>
      <c r="N430" s="57"/>
      <c r="O430" s="57"/>
      <c r="P430" s="60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</row>
    <row r="431" spans="1:27" ht="16.5">
      <c r="A431" s="57"/>
      <c r="B431" s="61">
        <v>426</v>
      </c>
      <c r="C431" s="146"/>
      <c r="D431" s="435"/>
      <c r="E431" s="436"/>
      <c r="F431" s="437"/>
      <c r="G431" s="438"/>
      <c r="H431" s="439"/>
      <c r="I431" s="440"/>
      <c r="J431" s="435"/>
      <c r="K431" s="436"/>
      <c r="L431" s="436"/>
      <c r="M431" s="441"/>
      <c r="N431" s="57"/>
      <c r="O431" s="57"/>
      <c r="P431" s="60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</row>
    <row r="432" spans="1:27" ht="16.5">
      <c r="A432" s="57"/>
      <c r="B432" s="61">
        <v>427</v>
      </c>
      <c r="C432" s="146"/>
      <c r="D432" s="435"/>
      <c r="E432" s="436"/>
      <c r="F432" s="437"/>
      <c r="G432" s="438"/>
      <c r="H432" s="439"/>
      <c r="I432" s="440"/>
      <c r="J432" s="435"/>
      <c r="K432" s="436"/>
      <c r="L432" s="436"/>
      <c r="M432" s="441"/>
      <c r="N432" s="57"/>
      <c r="O432" s="57"/>
      <c r="P432" s="60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</row>
    <row r="433" spans="1:27" ht="16.5">
      <c r="A433" s="57"/>
      <c r="B433" s="61">
        <v>428</v>
      </c>
      <c r="C433" s="146"/>
      <c r="D433" s="435"/>
      <c r="E433" s="436"/>
      <c r="F433" s="437"/>
      <c r="G433" s="438"/>
      <c r="H433" s="439"/>
      <c r="I433" s="440"/>
      <c r="J433" s="435"/>
      <c r="K433" s="436"/>
      <c r="L433" s="436"/>
      <c r="M433" s="441"/>
      <c r="N433" s="57"/>
      <c r="O433" s="57"/>
      <c r="P433" s="60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</row>
    <row r="434" spans="1:27" ht="16.5">
      <c r="A434" s="57"/>
      <c r="B434" s="61">
        <v>429</v>
      </c>
      <c r="C434" s="146"/>
      <c r="D434" s="435"/>
      <c r="E434" s="436"/>
      <c r="F434" s="437"/>
      <c r="G434" s="438"/>
      <c r="H434" s="439"/>
      <c r="I434" s="440"/>
      <c r="J434" s="435"/>
      <c r="K434" s="436"/>
      <c r="L434" s="436"/>
      <c r="M434" s="441"/>
      <c r="N434" s="57"/>
      <c r="O434" s="57"/>
      <c r="P434" s="60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</row>
    <row r="435" spans="1:27" ht="16.5">
      <c r="A435" s="57"/>
      <c r="B435" s="61">
        <v>430</v>
      </c>
      <c r="C435" s="146"/>
      <c r="D435" s="435"/>
      <c r="E435" s="436"/>
      <c r="F435" s="437"/>
      <c r="G435" s="438"/>
      <c r="H435" s="439"/>
      <c r="I435" s="440"/>
      <c r="J435" s="435"/>
      <c r="K435" s="436"/>
      <c r="L435" s="436"/>
      <c r="M435" s="441"/>
      <c r="N435" s="57"/>
      <c r="O435" s="57"/>
      <c r="P435" s="60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</row>
    <row r="436" spans="1:27" ht="16.5">
      <c r="A436" s="57"/>
      <c r="B436" s="61">
        <v>431</v>
      </c>
      <c r="C436" s="146"/>
      <c r="D436" s="435"/>
      <c r="E436" s="436"/>
      <c r="F436" s="437"/>
      <c r="G436" s="438"/>
      <c r="H436" s="439"/>
      <c r="I436" s="440"/>
      <c r="J436" s="435"/>
      <c r="K436" s="436"/>
      <c r="L436" s="436"/>
      <c r="M436" s="441"/>
      <c r="N436" s="57"/>
      <c r="O436" s="57"/>
      <c r="P436" s="60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</row>
    <row r="437" spans="1:27" ht="16.5">
      <c r="A437" s="57"/>
      <c r="B437" s="61">
        <v>432</v>
      </c>
      <c r="C437" s="146"/>
      <c r="D437" s="435"/>
      <c r="E437" s="436"/>
      <c r="F437" s="437"/>
      <c r="G437" s="438"/>
      <c r="H437" s="439"/>
      <c r="I437" s="440"/>
      <c r="J437" s="435"/>
      <c r="K437" s="436"/>
      <c r="L437" s="436"/>
      <c r="M437" s="441"/>
      <c r="N437" s="57"/>
      <c r="O437" s="57"/>
      <c r="P437" s="60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</row>
    <row r="438" spans="1:27" ht="16.5">
      <c r="A438" s="57"/>
      <c r="B438" s="61">
        <v>433</v>
      </c>
      <c r="C438" s="146"/>
      <c r="D438" s="435"/>
      <c r="E438" s="436"/>
      <c r="F438" s="437"/>
      <c r="G438" s="438"/>
      <c r="H438" s="439"/>
      <c r="I438" s="440"/>
      <c r="J438" s="435"/>
      <c r="K438" s="436"/>
      <c r="L438" s="436"/>
      <c r="M438" s="441"/>
      <c r="N438" s="57"/>
      <c r="O438" s="57"/>
      <c r="P438" s="60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</row>
    <row r="439" spans="1:27" ht="16.5">
      <c r="A439" s="57"/>
      <c r="B439" s="61">
        <v>434</v>
      </c>
      <c r="C439" s="146"/>
      <c r="D439" s="435"/>
      <c r="E439" s="436"/>
      <c r="F439" s="437"/>
      <c r="G439" s="438"/>
      <c r="H439" s="439"/>
      <c r="I439" s="440"/>
      <c r="J439" s="435"/>
      <c r="K439" s="436"/>
      <c r="L439" s="436"/>
      <c r="M439" s="441"/>
      <c r="N439" s="57"/>
      <c r="O439" s="57"/>
      <c r="P439" s="60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</row>
    <row r="440" spans="1:27" ht="16.5">
      <c r="A440" s="57"/>
      <c r="B440" s="61">
        <v>435</v>
      </c>
      <c r="C440" s="146"/>
      <c r="D440" s="435"/>
      <c r="E440" s="436"/>
      <c r="F440" s="437"/>
      <c r="G440" s="438"/>
      <c r="H440" s="439"/>
      <c r="I440" s="440"/>
      <c r="J440" s="435"/>
      <c r="K440" s="436"/>
      <c r="L440" s="436"/>
      <c r="M440" s="441"/>
      <c r="N440" s="57"/>
      <c r="O440" s="57"/>
      <c r="P440" s="60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</row>
    <row r="441" spans="1:27" ht="16.5">
      <c r="A441" s="57"/>
      <c r="B441" s="61">
        <v>436</v>
      </c>
      <c r="C441" s="146"/>
      <c r="D441" s="435"/>
      <c r="E441" s="436"/>
      <c r="F441" s="437"/>
      <c r="G441" s="438"/>
      <c r="H441" s="439"/>
      <c r="I441" s="440"/>
      <c r="J441" s="435"/>
      <c r="K441" s="436"/>
      <c r="L441" s="436"/>
      <c r="M441" s="441"/>
      <c r="N441" s="57"/>
      <c r="O441" s="57"/>
      <c r="P441" s="60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</row>
    <row r="442" spans="1:27" ht="16.5">
      <c r="A442" s="57"/>
      <c r="B442" s="61">
        <v>437</v>
      </c>
      <c r="C442" s="146"/>
      <c r="D442" s="435"/>
      <c r="E442" s="436"/>
      <c r="F442" s="437"/>
      <c r="G442" s="438"/>
      <c r="H442" s="439"/>
      <c r="I442" s="440"/>
      <c r="J442" s="435"/>
      <c r="K442" s="436"/>
      <c r="L442" s="436"/>
      <c r="M442" s="441"/>
      <c r="N442" s="57"/>
      <c r="O442" s="57"/>
      <c r="P442" s="60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</row>
    <row r="443" spans="1:27" ht="16.5">
      <c r="A443" s="57"/>
      <c r="B443" s="61">
        <v>438</v>
      </c>
      <c r="C443" s="146"/>
      <c r="D443" s="435"/>
      <c r="E443" s="436"/>
      <c r="F443" s="437"/>
      <c r="G443" s="438"/>
      <c r="H443" s="439"/>
      <c r="I443" s="440"/>
      <c r="J443" s="435"/>
      <c r="K443" s="436"/>
      <c r="L443" s="436"/>
      <c r="M443" s="441"/>
      <c r="N443" s="57"/>
      <c r="O443" s="57"/>
      <c r="P443" s="60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</row>
    <row r="444" spans="1:27" ht="16.5">
      <c r="A444" s="57"/>
      <c r="B444" s="61">
        <v>439</v>
      </c>
      <c r="C444" s="146"/>
      <c r="D444" s="435"/>
      <c r="E444" s="436"/>
      <c r="F444" s="437"/>
      <c r="G444" s="438"/>
      <c r="H444" s="439"/>
      <c r="I444" s="440"/>
      <c r="J444" s="435"/>
      <c r="K444" s="436"/>
      <c r="L444" s="436"/>
      <c r="M444" s="441"/>
      <c r="N444" s="57"/>
      <c r="O444" s="57"/>
      <c r="P444" s="60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</row>
    <row r="445" spans="1:27" ht="16.5">
      <c r="A445" s="57"/>
      <c r="B445" s="61">
        <v>440</v>
      </c>
      <c r="C445" s="146"/>
      <c r="D445" s="435"/>
      <c r="E445" s="436"/>
      <c r="F445" s="437"/>
      <c r="G445" s="438"/>
      <c r="H445" s="439"/>
      <c r="I445" s="440"/>
      <c r="J445" s="435"/>
      <c r="K445" s="436"/>
      <c r="L445" s="436"/>
      <c r="M445" s="441"/>
      <c r="N445" s="57"/>
      <c r="O445" s="57"/>
      <c r="P445" s="60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</row>
    <row r="446" spans="1:27" ht="16.5">
      <c r="A446" s="57"/>
      <c r="B446" s="61">
        <v>441</v>
      </c>
      <c r="C446" s="146"/>
      <c r="D446" s="435"/>
      <c r="E446" s="436"/>
      <c r="F446" s="437"/>
      <c r="G446" s="438"/>
      <c r="H446" s="439"/>
      <c r="I446" s="440"/>
      <c r="J446" s="435"/>
      <c r="K446" s="436"/>
      <c r="L446" s="436"/>
      <c r="M446" s="441"/>
      <c r="N446" s="57"/>
      <c r="O446" s="57"/>
      <c r="P446" s="60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</row>
    <row r="447" spans="1:27" ht="16.5">
      <c r="A447" s="57"/>
      <c r="B447" s="61">
        <v>442</v>
      </c>
      <c r="C447" s="146"/>
      <c r="D447" s="435"/>
      <c r="E447" s="436"/>
      <c r="F447" s="437"/>
      <c r="G447" s="438"/>
      <c r="H447" s="439"/>
      <c r="I447" s="440"/>
      <c r="J447" s="435"/>
      <c r="K447" s="436"/>
      <c r="L447" s="436"/>
      <c r="M447" s="441"/>
      <c r="N447" s="57"/>
      <c r="O447" s="57"/>
      <c r="P447" s="60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</row>
    <row r="448" spans="1:27" ht="16.5">
      <c r="A448" s="57"/>
      <c r="B448" s="61">
        <v>443</v>
      </c>
      <c r="C448" s="146"/>
      <c r="D448" s="435"/>
      <c r="E448" s="436"/>
      <c r="F448" s="437"/>
      <c r="G448" s="438"/>
      <c r="H448" s="439"/>
      <c r="I448" s="440"/>
      <c r="J448" s="435"/>
      <c r="K448" s="436"/>
      <c r="L448" s="436"/>
      <c r="M448" s="441"/>
      <c r="N448" s="57"/>
      <c r="O448" s="57"/>
      <c r="P448" s="60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</row>
    <row r="449" spans="1:27" ht="16.5">
      <c r="A449" s="57"/>
      <c r="B449" s="61">
        <v>444</v>
      </c>
      <c r="C449" s="146"/>
      <c r="D449" s="435"/>
      <c r="E449" s="436"/>
      <c r="F449" s="437"/>
      <c r="G449" s="438"/>
      <c r="H449" s="439"/>
      <c r="I449" s="440"/>
      <c r="J449" s="435"/>
      <c r="K449" s="436"/>
      <c r="L449" s="436"/>
      <c r="M449" s="441"/>
      <c r="N449" s="57"/>
      <c r="O449" s="57"/>
      <c r="P449" s="60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</row>
    <row r="450" spans="1:27" ht="16.5">
      <c r="A450" s="57"/>
      <c r="B450" s="61">
        <v>445</v>
      </c>
      <c r="C450" s="146"/>
      <c r="D450" s="435"/>
      <c r="E450" s="436"/>
      <c r="F450" s="437"/>
      <c r="G450" s="438"/>
      <c r="H450" s="439"/>
      <c r="I450" s="440"/>
      <c r="J450" s="435"/>
      <c r="K450" s="436"/>
      <c r="L450" s="436"/>
      <c r="M450" s="441"/>
      <c r="N450" s="57"/>
      <c r="O450" s="57"/>
      <c r="P450" s="60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</row>
    <row r="451" spans="1:27" ht="16.5">
      <c r="A451" s="57"/>
      <c r="B451" s="61">
        <v>446</v>
      </c>
      <c r="C451" s="146"/>
      <c r="D451" s="435"/>
      <c r="E451" s="436"/>
      <c r="F451" s="437"/>
      <c r="G451" s="438"/>
      <c r="H451" s="439"/>
      <c r="I451" s="440"/>
      <c r="J451" s="435"/>
      <c r="K451" s="436"/>
      <c r="L451" s="436"/>
      <c r="M451" s="441"/>
      <c r="N451" s="57"/>
      <c r="O451" s="57"/>
      <c r="P451" s="60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</row>
    <row r="452" spans="1:27" ht="16.5">
      <c r="A452" s="57"/>
      <c r="B452" s="61">
        <v>447</v>
      </c>
      <c r="C452" s="146"/>
      <c r="D452" s="435"/>
      <c r="E452" s="436"/>
      <c r="F452" s="437"/>
      <c r="G452" s="438"/>
      <c r="H452" s="439"/>
      <c r="I452" s="440"/>
      <c r="J452" s="435"/>
      <c r="K452" s="436"/>
      <c r="L452" s="436"/>
      <c r="M452" s="441"/>
      <c r="N452" s="57"/>
      <c r="O452" s="57"/>
      <c r="P452" s="60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</row>
    <row r="453" spans="1:27" ht="16.5">
      <c r="A453" s="57"/>
      <c r="B453" s="61">
        <v>448</v>
      </c>
      <c r="C453" s="146"/>
      <c r="D453" s="435"/>
      <c r="E453" s="436"/>
      <c r="F453" s="437"/>
      <c r="G453" s="438"/>
      <c r="H453" s="439"/>
      <c r="I453" s="440"/>
      <c r="J453" s="435"/>
      <c r="K453" s="436"/>
      <c r="L453" s="436"/>
      <c r="M453" s="441"/>
      <c r="N453" s="57"/>
      <c r="O453" s="57"/>
      <c r="P453" s="60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</row>
    <row r="454" spans="1:27" ht="16.5">
      <c r="A454" s="57"/>
      <c r="B454" s="61">
        <v>449</v>
      </c>
      <c r="C454" s="146"/>
      <c r="D454" s="435"/>
      <c r="E454" s="436"/>
      <c r="F454" s="437"/>
      <c r="G454" s="438"/>
      <c r="H454" s="439"/>
      <c r="I454" s="440"/>
      <c r="J454" s="435"/>
      <c r="K454" s="436"/>
      <c r="L454" s="436"/>
      <c r="M454" s="441"/>
      <c r="N454" s="57"/>
      <c r="O454" s="57"/>
      <c r="P454" s="60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</row>
    <row r="455" spans="1:27" ht="16.5">
      <c r="A455" s="57"/>
      <c r="B455" s="61">
        <v>450</v>
      </c>
      <c r="C455" s="146"/>
      <c r="D455" s="435"/>
      <c r="E455" s="436"/>
      <c r="F455" s="437"/>
      <c r="G455" s="438"/>
      <c r="H455" s="439"/>
      <c r="I455" s="440"/>
      <c r="J455" s="435"/>
      <c r="K455" s="436"/>
      <c r="L455" s="436"/>
      <c r="M455" s="441"/>
      <c r="N455" s="57"/>
      <c r="O455" s="57"/>
      <c r="P455" s="60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</row>
    <row r="456" spans="1:27" ht="16.5">
      <c r="A456" s="57"/>
      <c r="B456" s="61">
        <v>451</v>
      </c>
      <c r="C456" s="146"/>
      <c r="D456" s="435"/>
      <c r="E456" s="436"/>
      <c r="F456" s="437"/>
      <c r="G456" s="438"/>
      <c r="H456" s="439"/>
      <c r="I456" s="440"/>
      <c r="J456" s="435"/>
      <c r="K456" s="436"/>
      <c r="L456" s="436"/>
      <c r="M456" s="441"/>
      <c r="N456" s="57"/>
      <c r="O456" s="57"/>
      <c r="P456" s="60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</row>
    <row r="457" spans="1:27" ht="16.5">
      <c r="A457" s="57"/>
      <c r="B457" s="61">
        <v>452</v>
      </c>
      <c r="C457" s="146"/>
      <c r="D457" s="435"/>
      <c r="E457" s="436"/>
      <c r="F457" s="437"/>
      <c r="G457" s="438"/>
      <c r="H457" s="439"/>
      <c r="I457" s="440"/>
      <c r="J457" s="435"/>
      <c r="K457" s="436"/>
      <c r="L457" s="436"/>
      <c r="M457" s="441"/>
      <c r="N457" s="57"/>
      <c r="O457" s="57"/>
      <c r="P457" s="60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</row>
    <row r="458" spans="1:27" ht="16.5">
      <c r="A458" s="57"/>
      <c r="B458" s="61">
        <v>453</v>
      </c>
      <c r="C458" s="146"/>
      <c r="D458" s="435"/>
      <c r="E458" s="436"/>
      <c r="F458" s="437"/>
      <c r="G458" s="438"/>
      <c r="H458" s="439"/>
      <c r="I458" s="440"/>
      <c r="J458" s="435"/>
      <c r="K458" s="436"/>
      <c r="L458" s="436"/>
      <c r="M458" s="441"/>
      <c r="N458" s="57"/>
      <c r="O458" s="57"/>
      <c r="P458" s="60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</row>
    <row r="459" spans="1:27" ht="16.5">
      <c r="A459" s="57"/>
      <c r="B459" s="61">
        <v>454</v>
      </c>
      <c r="C459" s="146"/>
      <c r="D459" s="435"/>
      <c r="E459" s="436"/>
      <c r="F459" s="437"/>
      <c r="G459" s="438"/>
      <c r="H459" s="439"/>
      <c r="I459" s="440"/>
      <c r="J459" s="435"/>
      <c r="K459" s="436"/>
      <c r="L459" s="436"/>
      <c r="M459" s="441"/>
      <c r="N459" s="57"/>
      <c r="O459" s="57"/>
      <c r="P459" s="60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</row>
    <row r="460" spans="1:27" ht="16.5">
      <c r="A460" s="57"/>
      <c r="B460" s="61">
        <v>455</v>
      </c>
      <c r="C460" s="146"/>
      <c r="D460" s="435"/>
      <c r="E460" s="436"/>
      <c r="F460" s="437"/>
      <c r="G460" s="438"/>
      <c r="H460" s="439"/>
      <c r="I460" s="440"/>
      <c r="J460" s="435"/>
      <c r="K460" s="436"/>
      <c r="L460" s="436"/>
      <c r="M460" s="441"/>
      <c r="N460" s="57"/>
      <c r="O460" s="57"/>
      <c r="P460" s="60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</row>
    <row r="461" spans="1:27" ht="16.5">
      <c r="A461" s="57"/>
      <c r="B461" s="61">
        <v>456</v>
      </c>
      <c r="C461" s="146"/>
      <c r="D461" s="435"/>
      <c r="E461" s="436"/>
      <c r="F461" s="437"/>
      <c r="G461" s="438"/>
      <c r="H461" s="439"/>
      <c r="I461" s="440"/>
      <c r="J461" s="435"/>
      <c r="K461" s="436"/>
      <c r="L461" s="436"/>
      <c r="M461" s="441"/>
      <c r="N461" s="57"/>
      <c r="O461" s="57"/>
      <c r="P461" s="60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</row>
    <row r="462" spans="1:27" ht="16.5">
      <c r="A462" s="57"/>
      <c r="B462" s="61">
        <v>457</v>
      </c>
      <c r="C462" s="146"/>
      <c r="D462" s="435"/>
      <c r="E462" s="436"/>
      <c r="F462" s="437"/>
      <c r="G462" s="438"/>
      <c r="H462" s="439"/>
      <c r="I462" s="440"/>
      <c r="J462" s="435"/>
      <c r="K462" s="436"/>
      <c r="L462" s="436"/>
      <c r="M462" s="441"/>
      <c r="N462" s="57"/>
      <c r="O462" s="57"/>
      <c r="P462" s="60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</row>
    <row r="463" spans="1:27" ht="16.5">
      <c r="A463" s="57"/>
      <c r="B463" s="61">
        <v>458</v>
      </c>
      <c r="C463" s="146"/>
      <c r="D463" s="435"/>
      <c r="E463" s="436"/>
      <c r="F463" s="437"/>
      <c r="G463" s="438"/>
      <c r="H463" s="439"/>
      <c r="I463" s="440"/>
      <c r="J463" s="435"/>
      <c r="K463" s="436"/>
      <c r="L463" s="436"/>
      <c r="M463" s="441"/>
      <c r="N463" s="57"/>
      <c r="O463" s="57"/>
      <c r="P463" s="60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</row>
    <row r="464" spans="1:27" ht="16.5">
      <c r="A464" s="57"/>
      <c r="B464" s="61">
        <v>459</v>
      </c>
      <c r="C464" s="146"/>
      <c r="D464" s="435"/>
      <c r="E464" s="436"/>
      <c r="F464" s="437"/>
      <c r="G464" s="438"/>
      <c r="H464" s="439"/>
      <c r="I464" s="440"/>
      <c r="J464" s="435"/>
      <c r="K464" s="436"/>
      <c r="L464" s="436"/>
      <c r="M464" s="441"/>
      <c r="N464" s="57"/>
      <c r="O464" s="57"/>
      <c r="P464" s="60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</row>
    <row r="465" spans="1:27" ht="16.5">
      <c r="A465" s="57"/>
      <c r="B465" s="61">
        <v>460</v>
      </c>
      <c r="C465" s="146"/>
      <c r="D465" s="435"/>
      <c r="E465" s="436"/>
      <c r="F465" s="437"/>
      <c r="G465" s="438"/>
      <c r="H465" s="439"/>
      <c r="I465" s="440"/>
      <c r="J465" s="435"/>
      <c r="K465" s="436"/>
      <c r="L465" s="436"/>
      <c r="M465" s="441"/>
      <c r="N465" s="57"/>
      <c r="O465" s="57"/>
      <c r="P465" s="60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</row>
    <row r="466" spans="1:27" ht="16.5">
      <c r="A466" s="57"/>
      <c r="B466" s="61">
        <v>461</v>
      </c>
      <c r="C466" s="146"/>
      <c r="D466" s="435"/>
      <c r="E466" s="436"/>
      <c r="F466" s="437"/>
      <c r="G466" s="438"/>
      <c r="H466" s="439"/>
      <c r="I466" s="440"/>
      <c r="J466" s="435"/>
      <c r="K466" s="436"/>
      <c r="L466" s="436"/>
      <c r="M466" s="441"/>
      <c r="N466" s="57"/>
      <c r="O466" s="57"/>
      <c r="P466" s="60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</row>
    <row r="467" spans="1:27" ht="16.5">
      <c r="A467" s="57"/>
      <c r="B467" s="61">
        <v>462</v>
      </c>
      <c r="C467" s="146"/>
      <c r="D467" s="435"/>
      <c r="E467" s="436"/>
      <c r="F467" s="437"/>
      <c r="G467" s="438"/>
      <c r="H467" s="439"/>
      <c r="I467" s="440"/>
      <c r="J467" s="435"/>
      <c r="K467" s="436"/>
      <c r="L467" s="436"/>
      <c r="M467" s="441"/>
      <c r="N467" s="57"/>
      <c r="O467" s="57"/>
      <c r="P467" s="60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</row>
    <row r="468" spans="1:27" ht="16.5">
      <c r="A468" s="57"/>
      <c r="B468" s="61">
        <v>463</v>
      </c>
      <c r="C468" s="146"/>
      <c r="D468" s="435"/>
      <c r="E468" s="436"/>
      <c r="F468" s="437"/>
      <c r="G468" s="438"/>
      <c r="H468" s="439"/>
      <c r="I468" s="440"/>
      <c r="J468" s="435"/>
      <c r="K468" s="436"/>
      <c r="L468" s="436"/>
      <c r="M468" s="441"/>
      <c r="N468" s="57"/>
      <c r="O468" s="57"/>
      <c r="P468" s="60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</row>
    <row r="469" spans="1:27" ht="16.5">
      <c r="A469" s="57"/>
      <c r="B469" s="61">
        <v>464</v>
      </c>
      <c r="C469" s="146"/>
      <c r="D469" s="435"/>
      <c r="E469" s="436"/>
      <c r="F469" s="437"/>
      <c r="G469" s="438"/>
      <c r="H469" s="439"/>
      <c r="I469" s="440"/>
      <c r="J469" s="435"/>
      <c r="K469" s="436"/>
      <c r="L469" s="436"/>
      <c r="M469" s="441"/>
      <c r="N469" s="57"/>
      <c r="O469" s="57"/>
      <c r="P469" s="60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</row>
    <row r="470" spans="1:27" ht="16.5">
      <c r="A470" s="57"/>
      <c r="B470" s="61">
        <v>465</v>
      </c>
      <c r="C470" s="146"/>
      <c r="D470" s="435"/>
      <c r="E470" s="436"/>
      <c r="F470" s="437"/>
      <c r="G470" s="438"/>
      <c r="H470" s="439"/>
      <c r="I470" s="440"/>
      <c r="J470" s="435"/>
      <c r="K470" s="436"/>
      <c r="L470" s="436"/>
      <c r="M470" s="441"/>
      <c r="N470" s="57"/>
      <c r="O470" s="57"/>
      <c r="P470" s="60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</row>
    <row r="471" spans="1:27" ht="16.5">
      <c r="A471" s="57"/>
      <c r="B471" s="61">
        <v>466</v>
      </c>
      <c r="C471" s="146"/>
      <c r="D471" s="435"/>
      <c r="E471" s="436"/>
      <c r="F471" s="437"/>
      <c r="G471" s="438"/>
      <c r="H471" s="439"/>
      <c r="I471" s="440"/>
      <c r="J471" s="435"/>
      <c r="K471" s="436"/>
      <c r="L471" s="436"/>
      <c r="M471" s="441"/>
      <c r="N471" s="57"/>
      <c r="O471" s="57"/>
      <c r="P471" s="60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</row>
    <row r="472" spans="1:27" ht="16.5">
      <c r="A472" s="57"/>
      <c r="B472" s="61">
        <v>467</v>
      </c>
      <c r="C472" s="146"/>
      <c r="D472" s="435"/>
      <c r="E472" s="436"/>
      <c r="F472" s="437"/>
      <c r="G472" s="438"/>
      <c r="H472" s="439"/>
      <c r="I472" s="440"/>
      <c r="J472" s="435"/>
      <c r="K472" s="436"/>
      <c r="L472" s="436"/>
      <c r="M472" s="441"/>
      <c r="N472" s="57"/>
      <c r="O472" s="57"/>
      <c r="P472" s="60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</row>
    <row r="473" spans="1:27" ht="16.5">
      <c r="A473" s="57"/>
      <c r="B473" s="61">
        <v>468</v>
      </c>
      <c r="C473" s="146"/>
      <c r="D473" s="435"/>
      <c r="E473" s="436"/>
      <c r="F473" s="437"/>
      <c r="G473" s="438"/>
      <c r="H473" s="439"/>
      <c r="I473" s="440"/>
      <c r="J473" s="435"/>
      <c r="K473" s="436"/>
      <c r="L473" s="436"/>
      <c r="M473" s="441"/>
      <c r="N473" s="57"/>
      <c r="O473" s="57"/>
      <c r="P473" s="60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</row>
    <row r="474" spans="1:27" ht="16.5">
      <c r="A474" s="57"/>
      <c r="B474" s="61">
        <v>469</v>
      </c>
      <c r="C474" s="146"/>
      <c r="D474" s="435"/>
      <c r="E474" s="436"/>
      <c r="F474" s="437"/>
      <c r="G474" s="438"/>
      <c r="H474" s="439"/>
      <c r="I474" s="440"/>
      <c r="J474" s="435"/>
      <c r="K474" s="436"/>
      <c r="L474" s="436"/>
      <c r="M474" s="441"/>
      <c r="N474" s="57"/>
      <c r="O474" s="57"/>
      <c r="P474" s="60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</row>
    <row r="475" spans="1:27" ht="16.5">
      <c r="A475" s="57"/>
      <c r="B475" s="61">
        <v>470</v>
      </c>
      <c r="C475" s="146"/>
      <c r="D475" s="435"/>
      <c r="E475" s="436"/>
      <c r="F475" s="437"/>
      <c r="G475" s="438"/>
      <c r="H475" s="439"/>
      <c r="I475" s="440"/>
      <c r="J475" s="435"/>
      <c r="K475" s="436"/>
      <c r="L475" s="436"/>
      <c r="M475" s="441"/>
      <c r="N475" s="57"/>
      <c r="O475" s="57"/>
      <c r="P475" s="60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</row>
    <row r="476" spans="1:27" ht="16.5">
      <c r="A476" s="57"/>
      <c r="B476" s="61">
        <v>471</v>
      </c>
      <c r="C476" s="146"/>
      <c r="D476" s="435"/>
      <c r="E476" s="436"/>
      <c r="F476" s="437"/>
      <c r="G476" s="438"/>
      <c r="H476" s="439"/>
      <c r="I476" s="440"/>
      <c r="J476" s="435"/>
      <c r="K476" s="436"/>
      <c r="L476" s="436"/>
      <c r="M476" s="441"/>
      <c r="N476" s="57"/>
      <c r="O476" s="57"/>
      <c r="P476" s="60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</row>
    <row r="477" spans="1:27" ht="16.5">
      <c r="A477" s="57"/>
      <c r="B477" s="61">
        <v>472</v>
      </c>
      <c r="C477" s="146"/>
      <c r="D477" s="435"/>
      <c r="E477" s="436"/>
      <c r="F477" s="437"/>
      <c r="G477" s="438"/>
      <c r="H477" s="439"/>
      <c r="I477" s="440"/>
      <c r="J477" s="435"/>
      <c r="K477" s="436"/>
      <c r="L477" s="436"/>
      <c r="M477" s="441"/>
      <c r="N477" s="57"/>
      <c r="O477" s="57"/>
      <c r="P477" s="60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</row>
    <row r="478" spans="1:27" ht="16.5">
      <c r="A478" s="57"/>
      <c r="B478" s="61">
        <v>473</v>
      </c>
      <c r="C478" s="146"/>
      <c r="D478" s="435"/>
      <c r="E478" s="436"/>
      <c r="F478" s="437"/>
      <c r="G478" s="438"/>
      <c r="H478" s="439"/>
      <c r="I478" s="440"/>
      <c r="J478" s="435"/>
      <c r="K478" s="436"/>
      <c r="L478" s="436"/>
      <c r="M478" s="441"/>
      <c r="N478" s="57"/>
      <c r="O478" s="57"/>
      <c r="P478" s="60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</row>
    <row r="479" spans="1:27" ht="16.5">
      <c r="A479" s="57"/>
      <c r="B479" s="61">
        <v>474</v>
      </c>
      <c r="C479" s="146"/>
      <c r="D479" s="435"/>
      <c r="E479" s="436"/>
      <c r="F479" s="437"/>
      <c r="G479" s="438"/>
      <c r="H479" s="439"/>
      <c r="I479" s="440"/>
      <c r="J479" s="435"/>
      <c r="K479" s="436"/>
      <c r="L479" s="436"/>
      <c r="M479" s="441"/>
      <c r="N479" s="57"/>
      <c r="O479" s="57"/>
      <c r="P479" s="60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</row>
    <row r="480" spans="1:27" ht="16.5">
      <c r="A480" s="57"/>
      <c r="B480" s="61">
        <v>475</v>
      </c>
      <c r="C480" s="146"/>
      <c r="D480" s="435"/>
      <c r="E480" s="436"/>
      <c r="F480" s="437"/>
      <c r="G480" s="438"/>
      <c r="H480" s="439"/>
      <c r="I480" s="440"/>
      <c r="J480" s="435"/>
      <c r="K480" s="436"/>
      <c r="L480" s="436"/>
      <c r="M480" s="441"/>
      <c r="N480" s="57"/>
      <c r="O480" s="57"/>
      <c r="P480" s="60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</row>
    <row r="481" spans="1:27" ht="16.5">
      <c r="A481" s="57"/>
      <c r="B481" s="61">
        <v>476</v>
      </c>
      <c r="C481" s="146"/>
      <c r="D481" s="435"/>
      <c r="E481" s="436"/>
      <c r="F481" s="437"/>
      <c r="G481" s="438"/>
      <c r="H481" s="439"/>
      <c r="I481" s="440"/>
      <c r="J481" s="435"/>
      <c r="K481" s="436"/>
      <c r="L481" s="436"/>
      <c r="M481" s="441"/>
      <c r="N481" s="57"/>
      <c r="O481" s="57"/>
      <c r="P481" s="60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</row>
    <row r="482" spans="1:27" ht="16.5">
      <c r="A482" s="57"/>
      <c r="B482" s="61">
        <v>477</v>
      </c>
      <c r="C482" s="146"/>
      <c r="D482" s="435"/>
      <c r="E482" s="436"/>
      <c r="F482" s="437"/>
      <c r="G482" s="438"/>
      <c r="H482" s="439"/>
      <c r="I482" s="440"/>
      <c r="J482" s="435"/>
      <c r="K482" s="436"/>
      <c r="L482" s="436"/>
      <c r="M482" s="441"/>
      <c r="N482" s="57"/>
      <c r="O482" s="57"/>
      <c r="P482" s="60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</row>
    <row r="483" spans="1:27" ht="16.5">
      <c r="A483" s="57"/>
      <c r="B483" s="61">
        <v>478</v>
      </c>
      <c r="C483" s="146"/>
      <c r="D483" s="435"/>
      <c r="E483" s="436"/>
      <c r="F483" s="437"/>
      <c r="G483" s="438"/>
      <c r="H483" s="439"/>
      <c r="I483" s="440"/>
      <c r="J483" s="435"/>
      <c r="K483" s="436"/>
      <c r="L483" s="436"/>
      <c r="M483" s="441"/>
      <c r="N483" s="57"/>
      <c r="O483" s="57"/>
      <c r="P483" s="60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</row>
    <row r="484" spans="1:27" ht="16.5">
      <c r="A484" s="57"/>
      <c r="B484" s="61">
        <v>479</v>
      </c>
      <c r="C484" s="146"/>
      <c r="D484" s="435"/>
      <c r="E484" s="436"/>
      <c r="F484" s="437"/>
      <c r="G484" s="438"/>
      <c r="H484" s="439"/>
      <c r="I484" s="440"/>
      <c r="J484" s="435"/>
      <c r="K484" s="436"/>
      <c r="L484" s="436"/>
      <c r="M484" s="441"/>
      <c r="N484" s="57"/>
      <c r="O484" s="57"/>
      <c r="P484" s="60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</row>
    <row r="485" spans="1:27" ht="16.5">
      <c r="A485" s="57"/>
      <c r="B485" s="61">
        <v>480</v>
      </c>
      <c r="C485" s="146"/>
      <c r="D485" s="435"/>
      <c r="E485" s="436"/>
      <c r="F485" s="437"/>
      <c r="G485" s="438"/>
      <c r="H485" s="439"/>
      <c r="I485" s="440"/>
      <c r="J485" s="435"/>
      <c r="K485" s="436"/>
      <c r="L485" s="436"/>
      <c r="M485" s="441"/>
      <c r="N485" s="57"/>
      <c r="O485" s="57"/>
      <c r="P485" s="60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</row>
    <row r="486" spans="1:27" ht="16.5">
      <c r="A486" s="57"/>
      <c r="B486" s="61">
        <v>481</v>
      </c>
      <c r="C486" s="146"/>
      <c r="D486" s="435"/>
      <c r="E486" s="436"/>
      <c r="F486" s="437"/>
      <c r="G486" s="438"/>
      <c r="H486" s="439"/>
      <c r="I486" s="440"/>
      <c r="J486" s="435"/>
      <c r="K486" s="436"/>
      <c r="L486" s="436"/>
      <c r="M486" s="441"/>
      <c r="N486" s="57"/>
      <c r="O486" s="57"/>
      <c r="P486" s="60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</row>
    <row r="487" spans="1:27" ht="16.5">
      <c r="A487" s="57"/>
      <c r="B487" s="61">
        <v>482</v>
      </c>
      <c r="C487" s="146"/>
      <c r="D487" s="435"/>
      <c r="E487" s="436"/>
      <c r="F487" s="437"/>
      <c r="G487" s="438"/>
      <c r="H487" s="439"/>
      <c r="I487" s="440"/>
      <c r="J487" s="435"/>
      <c r="K487" s="436"/>
      <c r="L487" s="436"/>
      <c r="M487" s="441"/>
      <c r="N487" s="57"/>
      <c r="O487" s="57"/>
      <c r="P487" s="60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</row>
    <row r="488" spans="1:27" ht="16.5">
      <c r="A488" s="57"/>
      <c r="B488" s="61">
        <v>483</v>
      </c>
      <c r="C488" s="146"/>
      <c r="D488" s="435"/>
      <c r="E488" s="436"/>
      <c r="F488" s="437"/>
      <c r="G488" s="438"/>
      <c r="H488" s="439"/>
      <c r="I488" s="440"/>
      <c r="J488" s="435"/>
      <c r="K488" s="436"/>
      <c r="L488" s="436"/>
      <c r="M488" s="441"/>
      <c r="N488" s="57"/>
      <c r="O488" s="57"/>
      <c r="P488" s="60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</row>
    <row r="489" spans="1:27" ht="16.5">
      <c r="A489" s="57"/>
      <c r="B489" s="61">
        <v>484</v>
      </c>
      <c r="C489" s="146"/>
      <c r="D489" s="435"/>
      <c r="E489" s="436"/>
      <c r="F489" s="437"/>
      <c r="G489" s="438"/>
      <c r="H489" s="439"/>
      <c r="I489" s="440"/>
      <c r="J489" s="435"/>
      <c r="K489" s="436"/>
      <c r="L489" s="436"/>
      <c r="M489" s="441"/>
      <c r="N489" s="57"/>
      <c r="O489" s="57"/>
      <c r="P489" s="60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</row>
    <row r="490" spans="1:27" ht="16.5">
      <c r="A490" s="57"/>
      <c r="B490" s="61">
        <v>485</v>
      </c>
      <c r="C490" s="146"/>
      <c r="D490" s="435"/>
      <c r="E490" s="436"/>
      <c r="F490" s="437"/>
      <c r="G490" s="438"/>
      <c r="H490" s="439"/>
      <c r="I490" s="440"/>
      <c r="J490" s="435"/>
      <c r="K490" s="436"/>
      <c r="L490" s="436"/>
      <c r="M490" s="441"/>
      <c r="N490" s="57"/>
      <c r="O490" s="57"/>
      <c r="P490" s="60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</row>
    <row r="491" spans="1:27" ht="16.5">
      <c r="A491" s="57"/>
      <c r="B491" s="61">
        <v>486</v>
      </c>
      <c r="C491" s="146"/>
      <c r="D491" s="435"/>
      <c r="E491" s="436"/>
      <c r="F491" s="437"/>
      <c r="G491" s="438"/>
      <c r="H491" s="439"/>
      <c r="I491" s="440"/>
      <c r="J491" s="435"/>
      <c r="K491" s="436"/>
      <c r="L491" s="436"/>
      <c r="M491" s="441"/>
      <c r="N491" s="57"/>
      <c r="O491" s="57"/>
      <c r="P491" s="60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</row>
    <row r="492" spans="1:27" ht="16.5">
      <c r="A492" s="57"/>
      <c r="B492" s="61">
        <v>487</v>
      </c>
      <c r="C492" s="146"/>
      <c r="D492" s="435"/>
      <c r="E492" s="436"/>
      <c r="F492" s="437"/>
      <c r="G492" s="438"/>
      <c r="H492" s="439"/>
      <c r="I492" s="440"/>
      <c r="J492" s="435"/>
      <c r="K492" s="436"/>
      <c r="L492" s="436"/>
      <c r="M492" s="441"/>
      <c r="N492" s="57"/>
      <c r="O492" s="57"/>
      <c r="P492" s="60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</row>
    <row r="493" spans="1:27" ht="16.5">
      <c r="A493" s="57"/>
      <c r="B493" s="61">
        <v>488</v>
      </c>
      <c r="C493" s="146"/>
      <c r="D493" s="435"/>
      <c r="E493" s="436"/>
      <c r="F493" s="437"/>
      <c r="G493" s="438"/>
      <c r="H493" s="439"/>
      <c r="I493" s="440"/>
      <c r="J493" s="435"/>
      <c r="K493" s="436"/>
      <c r="L493" s="436"/>
      <c r="M493" s="441"/>
      <c r="N493" s="57"/>
      <c r="O493" s="57"/>
      <c r="P493" s="60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</row>
    <row r="494" spans="1:27" ht="16.5">
      <c r="A494" s="57"/>
      <c r="B494" s="61">
        <v>489</v>
      </c>
      <c r="C494" s="146"/>
      <c r="D494" s="435"/>
      <c r="E494" s="436"/>
      <c r="F494" s="437"/>
      <c r="G494" s="438"/>
      <c r="H494" s="439"/>
      <c r="I494" s="440"/>
      <c r="J494" s="435"/>
      <c r="K494" s="436"/>
      <c r="L494" s="436"/>
      <c r="M494" s="441"/>
      <c r="N494" s="57"/>
      <c r="O494" s="57"/>
      <c r="P494" s="60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</row>
    <row r="495" spans="1:27" ht="16.5">
      <c r="A495" s="57"/>
      <c r="B495" s="61">
        <v>490</v>
      </c>
      <c r="C495" s="146"/>
      <c r="D495" s="435"/>
      <c r="E495" s="436"/>
      <c r="F495" s="437"/>
      <c r="G495" s="438"/>
      <c r="H495" s="439"/>
      <c r="I495" s="440"/>
      <c r="J495" s="435"/>
      <c r="K495" s="436"/>
      <c r="L495" s="436"/>
      <c r="M495" s="441"/>
      <c r="N495" s="57"/>
      <c r="O495" s="57"/>
      <c r="P495" s="60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</row>
    <row r="496" spans="1:27" ht="16.5">
      <c r="A496" s="57"/>
      <c r="B496" s="61">
        <v>491</v>
      </c>
      <c r="C496" s="146"/>
      <c r="D496" s="435"/>
      <c r="E496" s="436"/>
      <c r="F496" s="437"/>
      <c r="G496" s="438"/>
      <c r="H496" s="439"/>
      <c r="I496" s="440"/>
      <c r="J496" s="435"/>
      <c r="K496" s="436"/>
      <c r="L496" s="436"/>
      <c r="M496" s="441"/>
      <c r="N496" s="57"/>
      <c r="O496" s="57"/>
      <c r="P496" s="60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</row>
    <row r="497" spans="1:27" ht="16.5">
      <c r="A497" s="57"/>
      <c r="B497" s="61">
        <v>492</v>
      </c>
      <c r="C497" s="146"/>
      <c r="D497" s="435"/>
      <c r="E497" s="436"/>
      <c r="F497" s="437"/>
      <c r="G497" s="438"/>
      <c r="H497" s="439"/>
      <c r="I497" s="440"/>
      <c r="J497" s="435"/>
      <c r="K497" s="436"/>
      <c r="L497" s="436"/>
      <c r="M497" s="441"/>
      <c r="N497" s="57"/>
      <c r="O497" s="57"/>
      <c r="P497" s="60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</row>
    <row r="498" spans="1:27" ht="16.5">
      <c r="A498" s="57"/>
      <c r="B498" s="61">
        <v>493</v>
      </c>
      <c r="C498" s="146"/>
      <c r="D498" s="435"/>
      <c r="E498" s="436"/>
      <c r="F498" s="437"/>
      <c r="G498" s="438"/>
      <c r="H498" s="439"/>
      <c r="I498" s="440"/>
      <c r="J498" s="435"/>
      <c r="K498" s="436"/>
      <c r="L498" s="436"/>
      <c r="M498" s="441"/>
      <c r="N498" s="57"/>
      <c r="O498" s="57"/>
      <c r="P498" s="60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</row>
    <row r="499" spans="1:27" ht="16.5">
      <c r="A499" s="57"/>
      <c r="B499" s="61">
        <v>494</v>
      </c>
      <c r="C499" s="146"/>
      <c r="D499" s="435"/>
      <c r="E499" s="436"/>
      <c r="F499" s="437"/>
      <c r="G499" s="438"/>
      <c r="H499" s="439"/>
      <c r="I499" s="440"/>
      <c r="J499" s="435"/>
      <c r="K499" s="436"/>
      <c r="L499" s="436"/>
      <c r="M499" s="441"/>
      <c r="N499" s="57"/>
      <c r="O499" s="57"/>
      <c r="P499" s="60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</row>
    <row r="500" spans="1:27" ht="16.5">
      <c r="A500" s="57"/>
      <c r="B500" s="61">
        <v>495</v>
      </c>
      <c r="C500" s="146"/>
      <c r="D500" s="435"/>
      <c r="E500" s="436"/>
      <c r="F500" s="437"/>
      <c r="G500" s="438"/>
      <c r="H500" s="439"/>
      <c r="I500" s="440"/>
      <c r="J500" s="435"/>
      <c r="K500" s="436"/>
      <c r="L500" s="436"/>
      <c r="M500" s="441"/>
      <c r="N500" s="57"/>
      <c r="O500" s="57"/>
      <c r="P500" s="60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</row>
    <row r="501" spans="1:27" ht="16.5">
      <c r="A501" s="57"/>
      <c r="B501" s="61">
        <v>496</v>
      </c>
      <c r="C501" s="146"/>
      <c r="D501" s="435"/>
      <c r="E501" s="436"/>
      <c r="F501" s="437"/>
      <c r="G501" s="438"/>
      <c r="H501" s="439"/>
      <c r="I501" s="440"/>
      <c r="J501" s="435"/>
      <c r="K501" s="436"/>
      <c r="L501" s="436"/>
      <c r="M501" s="441"/>
      <c r="N501" s="57"/>
      <c r="O501" s="57"/>
      <c r="P501" s="60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</row>
    <row r="502" spans="1:27" ht="16.5">
      <c r="A502" s="57"/>
      <c r="B502" s="61">
        <v>497</v>
      </c>
      <c r="C502" s="146"/>
      <c r="D502" s="435"/>
      <c r="E502" s="436"/>
      <c r="F502" s="437"/>
      <c r="G502" s="438"/>
      <c r="H502" s="439"/>
      <c r="I502" s="440"/>
      <c r="J502" s="435"/>
      <c r="K502" s="436"/>
      <c r="L502" s="436"/>
      <c r="M502" s="441"/>
      <c r="N502" s="57"/>
      <c r="O502" s="57"/>
      <c r="P502" s="60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</row>
    <row r="503" spans="1:27" ht="16.5">
      <c r="A503" s="57"/>
      <c r="B503" s="61">
        <v>498</v>
      </c>
      <c r="C503" s="146"/>
      <c r="D503" s="435"/>
      <c r="E503" s="436"/>
      <c r="F503" s="437"/>
      <c r="G503" s="438"/>
      <c r="H503" s="439"/>
      <c r="I503" s="440"/>
      <c r="J503" s="435"/>
      <c r="K503" s="436"/>
      <c r="L503" s="436"/>
      <c r="M503" s="441"/>
      <c r="N503" s="57"/>
      <c r="O503" s="57"/>
      <c r="P503" s="60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</row>
    <row r="504" spans="1:27" ht="16.5">
      <c r="A504" s="57"/>
      <c r="B504" s="61">
        <v>499</v>
      </c>
      <c r="C504" s="146"/>
      <c r="D504" s="435"/>
      <c r="E504" s="436"/>
      <c r="F504" s="437"/>
      <c r="G504" s="438"/>
      <c r="H504" s="439"/>
      <c r="I504" s="440"/>
      <c r="J504" s="435"/>
      <c r="K504" s="436"/>
      <c r="L504" s="436"/>
      <c r="M504" s="441"/>
      <c r="N504" s="57"/>
      <c r="O504" s="57"/>
      <c r="P504" s="60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</row>
    <row r="505" spans="1:27" ht="16.5">
      <c r="A505" s="57"/>
      <c r="B505" s="61">
        <v>500</v>
      </c>
      <c r="C505" s="146"/>
      <c r="D505" s="435"/>
      <c r="E505" s="436"/>
      <c r="F505" s="437"/>
      <c r="G505" s="438"/>
      <c r="H505" s="439"/>
      <c r="I505" s="440"/>
      <c r="J505" s="435"/>
      <c r="K505" s="436"/>
      <c r="L505" s="436"/>
      <c r="M505" s="441"/>
      <c r="N505" s="57"/>
      <c r="O505" s="57"/>
      <c r="P505" s="60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</row>
    <row r="506" spans="1:27" ht="16.5">
      <c r="A506" s="57"/>
      <c r="B506" s="61">
        <v>501</v>
      </c>
      <c r="C506" s="146"/>
      <c r="D506" s="435"/>
      <c r="E506" s="436"/>
      <c r="F506" s="437"/>
      <c r="G506" s="438"/>
      <c r="H506" s="439"/>
      <c r="I506" s="440"/>
      <c r="J506" s="435"/>
      <c r="K506" s="436"/>
      <c r="L506" s="436"/>
      <c r="M506" s="441"/>
      <c r="N506" s="57"/>
      <c r="O506" s="57"/>
      <c r="P506" s="60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</row>
    <row r="507" spans="1:27" ht="16.5">
      <c r="A507" s="57"/>
      <c r="B507" s="61">
        <v>502</v>
      </c>
      <c r="C507" s="146"/>
      <c r="D507" s="435"/>
      <c r="E507" s="436"/>
      <c r="F507" s="437"/>
      <c r="G507" s="438"/>
      <c r="H507" s="439"/>
      <c r="I507" s="440"/>
      <c r="J507" s="435"/>
      <c r="K507" s="436"/>
      <c r="L507" s="436"/>
      <c r="M507" s="441"/>
      <c r="N507" s="57"/>
      <c r="O507" s="57"/>
      <c r="P507" s="60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</row>
    <row r="508" spans="1:27" ht="16.5">
      <c r="A508" s="57"/>
      <c r="B508" s="61">
        <v>503</v>
      </c>
      <c r="C508" s="146"/>
      <c r="D508" s="435"/>
      <c r="E508" s="436"/>
      <c r="F508" s="437"/>
      <c r="G508" s="438"/>
      <c r="H508" s="439"/>
      <c r="I508" s="440"/>
      <c r="J508" s="435"/>
      <c r="K508" s="436"/>
      <c r="L508" s="436"/>
      <c r="M508" s="441"/>
      <c r="N508" s="57"/>
      <c r="O508" s="57"/>
      <c r="P508" s="60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</row>
    <row r="509" spans="1:27" ht="16.5">
      <c r="A509" s="57"/>
      <c r="B509" s="61">
        <v>504</v>
      </c>
      <c r="C509" s="146"/>
      <c r="D509" s="435"/>
      <c r="E509" s="436"/>
      <c r="F509" s="437"/>
      <c r="G509" s="438"/>
      <c r="H509" s="439"/>
      <c r="I509" s="440"/>
      <c r="J509" s="435"/>
      <c r="K509" s="436"/>
      <c r="L509" s="436"/>
      <c r="M509" s="441"/>
      <c r="N509" s="57"/>
      <c r="O509" s="57"/>
      <c r="P509" s="60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</row>
    <row r="510" spans="1:27" ht="16.5">
      <c r="A510" s="57"/>
      <c r="B510" s="61">
        <v>505</v>
      </c>
      <c r="C510" s="146"/>
      <c r="D510" s="435"/>
      <c r="E510" s="436"/>
      <c r="F510" s="437"/>
      <c r="G510" s="438"/>
      <c r="H510" s="439"/>
      <c r="I510" s="440"/>
      <c r="J510" s="435"/>
      <c r="K510" s="436"/>
      <c r="L510" s="436"/>
      <c r="M510" s="441"/>
      <c r="N510" s="57"/>
      <c r="O510" s="57"/>
      <c r="P510" s="60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</row>
    <row r="511" spans="1:27" ht="16.5">
      <c r="A511" s="57"/>
      <c r="B511" s="61">
        <v>506</v>
      </c>
      <c r="C511" s="146"/>
      <c r="D511" s="435"/>
      <c r="E511" s="436"/>
      <c r="F511" s="437"/>
      <c r="G511" s="438"/>
      <c r="H511" s="439"/>
      <c r="I511" s="440"/>
      <c r="J511" s="435"/>
      <c r="K511" s="436"/>
      <c r="L511" s="436"/>
      <c r="M511" s="441"/>
      <c r="N511" s="57"/>
      <c r="O511" s="57"/>
      <c r="P511" s="60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</row>
    <row r="512" spans="1:27" ht="16.5">
      <c r="A512" s="57"/>
      <c r="B512" s="61">
        <v>507</v>
      </c>
      <c r="C512" s="146"/>
      <c r="D512" s="435"/>
      <c r="E512" s="436"/>
      <c r="F512" s="437"/>
      <c r="G512" s="438"/>
      <c r="H512" s="439"/>
      <c r="I512" s="440"/>
      <c r="J512" s="435"/>
      <c r="K512" s="436"/>
      <c r="L512" s="436"/>
      <c r="M512" s="441"/>
      <c r="N512" s="57"/>
      <c r="O512" s="57"/>
      <c r="P512" s="60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</row>
    <row r="513" spans="1:27" ht="16.5">
      <c r="A513" s="57"/>
      <c r="B513" s="61">
        <v>508</v>
      </c>
      <c r="C513" s="146"/>
      <c r="D513" s="435"/>
      <c r="E513" s="436"/>
      <c r="F513" s="437"/>
      <c r="G513" s="438"/>
      <c r="H513" s="439"/>
      <c r="I513" s="440"/>
      <c r="J513" s="435"/>
      <c r="K513" s="436"/>
      <c r="L513" s="436"/>
      <c r="M513" s="441"/>
      <c r="N513" s="57"/>
      <c r="O513" s="57"/>
      <c r="P513" s="60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</row>
    <row r="514" spans="1:27" ht="16.5">
      <c r="A514" s="57"/>
      <c r="B514" s="61">
        <v>509</v>
      </c>
      <c r="C514" s="146"/>
      <c r="D514" s="435"/>
      <c r="E514" s="436"/>
      <c r="F514" s="437"/>
      <c r="G514" s="438"/>
      <c r="H514" s="439"/>
      <c r="I514" s="440"/>
      <c r="J514" s="435"/>
      <c r="K514" s="436"/>
      <c r="L514" s="436"/>
      <c r="M514" s="441"/>
      <c r="N514" s="57"/>
      <c r="O514" s="57"/>
      <c r="P514" s="60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</row>
    <row r="515" spans="1:27" ht="16.5">
      <c r="A515" s="57"/>
      <c r="B515" s="61">
        <v>510</v>
      </c>
      <c r="C515" s="146"/>
      <c r="D515" s="435"/>
      <c r="E515" s="436"/>
      <c r="F515" s="437"/>
      <c r="G515" s="438"/>
      <c r="H515" s="439"/>
      <c r="I515" s="440"/>
      <c r="J515" s="435"/>
      <c r="K515" s="436"/>
      <c r="L515" s="436"/>
      <c r="M515" s="441"/>
      <c r="N515" s="57"/>
      <c r="O515" s="57"/>
      <c r="P515" s="60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</row>
    <row r="516" spans="1:27" ht="16.5">
      <c r="A516" s="57"/>
      <c r="B516" s="61">
        <v>511</v>
      </c>
      <c r="C516" s="146"/>
      <c r="D516" s="435"/>
      <c r="E516" s="436"/>
      <c r="F516" s="437"/>
      <c r="G516" s="438"/>
      <c r="H516" s="439"/>
      <c r="I516" s="440"/>
      <c r="J516" s="435"/>
      <c r="K516" s="436"/>
      <c r="L516" s="436"/>
      <c r="M516" s="441"/>
      <c r="N516" s="57"/>
      <c r="O516" s="57"/>
      <c r="P516" s="60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</row>
    <row r="517" spans="1:27" ht="16.5">
      <c r="A517" s="57"/>
      <c r="B517" s="61">
        <v>512</v>
      </c>
      <c r="C517" s="146"/>
      <c r="D517" s="435"/>
      <c r="E517" s="436"/>
      <c r="F517" s="437"/>
      <c r="G517" s="438"/>
      <c r="H517" s="439"/>
      <c r="I517" s="440"/>
      <c r="J517" s="435"/>
      <c r="K517" s="436"/>
      <c r="L517" s="436"/>
      <c r="M517" s="441"/>
      <c r="N517" s="57"/>
      <c r="O517" s="57"/>
      <c r="P517" s="60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</row>
    <row r="518" spans="1:27" ht="16.5">
      <c r="A518" s="57"/>
      <c r="B518" s="61">
        <v>513</v>
      </c>
      <c r="C518" s="146"/>
      <c r="D518" s="435"/>
      <c r="E518" s="436"/>
      <c r="F518" s="437"/>
      <c r="G518" s="438"/>
      <c r="H518" s="439"/>
      <c r="I518" s="440"/>
      <c r="J518" s="435"/>
      <c r="K518" s="436"/>
      <c r="L518" s="436"/>
      <c r="M518" s="441"/>
      <c r="N518" s="57"/>
      <c r="O518" s="57"/>
      <c r="P518" s="60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</row>
    <row r="519" spans="1:27" ht="16.5">
      <c r="A519" s="57"/>
      <c r="B519" s="61">
        <v>514</v>
      </c>
      <c r="C519" s="146"/>
      <c r="D519" s="435"/>
      <c r="E519" s="436"/>
      <c r="F519" s="437"/>
      <c r="G519" s="438"/>
      <c r="H519" s="439"/>
      <c r="I519" s="440"/>
      <c r="J519" s="435"/>
      <c r="K519" s="436"/>
      <c r="L519" s="436"/>
      <c r="M519" s="441"/>
      <c r="N519" s="57"/>
      <c r="O519" s="57"/>
      <c r="P519" s="60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</row>
    <row r="520" spans="1:27" ht="16.5">
      <c r="A520" s="57"/>
      <c r="B520" s="61">
        <v>515</v>
      </c>
      <c r="C520" s="146"/>
      <c r="D520" s="435"/>
      <c r="E520" s="436"/>
      <c r="F520" s="437"/>
      <c r="G520" s="438"/>
      <c r="H520" s="439"/>
      <c r="I520" s="440"/>
      <c r="J520" s="435"/>
      <c r="K520" s="436"/>
      <c r="L520" s="436"/>
      <c r="M520" s="441"/>
      <c r="N520" s="57"/>
      <c r="O520" s="57"/>
      <c r="P520" s="60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</row>
    <row r="521" spans="1:27" ht="16.5">
      <c r="A521" s="57"/>
      <c r="B521" s="61">
        <v>516</v>
      </c>
      <c r="C521" s="146"/>
      <c r="D521" s="435"/>
      <c r="E521" s="436"/>
      <c r="F521" s="437"/>
      <c r="G521" s="438"/>
      <c r="H521" s="439"/>
      <c r="I521" s="440"/>
      <c r="J521" s="435"/>
      <c r="K521" s="436"/>
      <c r="L521" s="436"/>
      <c r="M521" s="441"/>
      <c r="N521" s="57"/>
      <c r="O521" s="57"/>
      <c r="P521" s="60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</row>
    <row r="522" spans="1:27" ht="16.5">
      <c r="A522" s="57"/>
      <c r="B522" s="61">
        <v>517</v>
      </c>
      <c r="C522" s="146"/>
      <c r="D522" s="435"/>
      <c r="E522" s="436"/>
      <c r="F522" s="437"/>
      <c r="G522" s="438"/>
      <c r="H522" s="439"/>
      <c r="I522" s="440"/>
      <c r="J522" s="435"/>
      <c r="K522" s="436"/>
      <c r="L522" s="436"/>
      <c r="M522" s="441"/>
      <c r="N522" s="57"/>
      <c r="O522" s="57"/>
      <c r="P522" s="60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</row>
    <row r="523" spans="1:27" ht="16.5">
      <c r="A523" s="57"/>
      <c r="B523" s="61">
        <v>518</v>
      </c>
      <c r="C523" s="146"/>
      <c r="D523" s="435"/>
      <c r="E523" s="436"/>
      <c r="F523" s="437"/>
      <c r="G523" s="438"/>
      <c r="H523" s="439"/>
      <c r="I523" s="440"/>
      <c r="J523" s="435"/>
      <c r="K523" s="436"/>
      <c r="L523" s="436"/>
      <c r="M523" s="441"/>
      <c r="N523" s="57"/>
      <c r="O523" s="57"/>
      <c r="P523" s="60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</row>
    <row r="524" spans="1:27" ht="16.5">
      <c r="A524" s="57"/>
      <c r="B524" s="61">
        <v>519</v>
      </c>
      <c r="C524" s="146"/>
      <c r="D524" s="435"/>
      <c r="E524" s="436"/>
      <c r="F524" s="437"/>
      <c r="G524" s="438"/>
      <c r="H524" s="439"/>
      <c r="I524" s="440"/>
      <c r="J524" s="435"/>
      <c r="K524" s="436"/>
      <c r="L524" s="436"/>
      <c r="M524" s="441"/>
      <c r="N524" s="57"/>
      <c r="O524" s="57"/>
      <c r="P524" s="60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</row>
    <row r="525" spans="1:27" ht="16.5">
      <c r="A525" s="57"/>
      <c r="B525" s="61">
        <v>520</v>
      </c>
      <c r="C525" s="146"/>
      <c r="D525" s="435"/>
      <c r="E525" s="436"/>
      <c r="F525" s="437"/>
      <c r="G525" s="438"/>
      <c r="H525" s="439"/>
      <c r="I525" s="440"/>
      <c r="J525" s="435"/>
      <c r="K525" s="436"/>
      <c r="L525" s="436"/>
      <c r="M525" s="441"/>
      <c r="N525" s="57"/>
      <c r="O525" s="57"/>
      <c r="P525" s="60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</row>
    <row r="526" spans="1:27" ht="16.5">
      <c r="A526" s="57"/>
      <c r="B526" s="61">
        <v>521</v>
      </c>
      <c r="C526" s="146"/>
      <c r="D526" s="435"/>
      <c r="E526" s="436"/>
      <c r="F526" s="437"/>
      <c r="G526" s="438"/>
      <c r="H526" s="439"/>
      <c r="I526" s="440"/>
      <c r="J526" s="435"/>
      <c r="K526" s="436"/>
      <c r="L526" s="436"/>
      <c r="M526" s="441"/>
      <c r="N526" s="57"/>
      <c r="O526" s="57"/>
      <c r="P526" s="60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</row>
    <row r="527" spans="1:27" ht="16.5">
      <c r="A527" s="57"/>
      <c r="B527" s="61">
        <v>522</v>
      </c>
      <c r="C527" s="146"/>
      <c r="D527" s="435"/>
      <c r="E527" s="436"/>
      <c r="F527" s="437"/>
      <c r="G527" s="438"/>
      <c r="H527" s="439"/>
      <c r="I527" s="440"/>
      <c r="J527" s="435"/>
      <c r="K527" s="436"/>
      <c r="L527" s="436"/>
      <c r="M527" s="441"/>
      <c r="N527" s="57"/>
      <c r="O527" s="57"/>
      <c r="P527" s="60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</row>
    <row r="528" spans="1:27" ht="16.5">
      <c r="A528" s="57"/>
      <c r="B528" s="61">
        <v>523</v>
      </c>
      <c r="C528" s="146"/>
      <c r="D528" s="435"/>
      <c r="E528" s="436"/>
      <c r="F528" s="437"/>
      <c r="G528" s="438"/>
      <c r="H528" s="439"/>
      <c r="I528" s="440"/>
      <c r="J528" s="435"/>
      <c r="K528" s="436"/>
      <c r="L528" s="436"/>
      <c r="M528" s="441"/>
      <c r="N528" s="57"/>
      <c r="O528" s="57"/>
      <c r="P528" s="60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</row>
    <row r="529" spans="1:27" ht="16.5">
      <c r="A529" s="57"/>
      <c r="B529" s="61">
        <v>524</v>
      </c>
      <c r="C529" s="146"/>
      <c r="D529" s="435"/>
      <c r="E529" s="436"/>
      <c r="F529" s="437"/>
      <c r="G529" s="438"/>
      <c r="H529" s="439"/>
      <c r="I529" s="440"/>
      <c r="J529" s="435"/>
      <c r="K529" s="436"/>
      <c r="L529" s="436"/>
      <c r="M529" s="441"/>
      <c r="N529" s="57"/>
      <c r="O529" s="57"/>
      <c r="P529" s="60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</row>
    <row r="530" spans="1:27" ht="16.5">
      <c r="A530" s="57"/>
      <c r="B530" s="61">
        <v>525</v>
      </c>
      <c r="C530" s="146"/>
      <c r="D530" s="435"/>
      <c r="E530" s="436"/>
      <c r="F530" s="437"/>
      <c r="G530" s="438"/>
      <c r="H530" s="439"/>
      <c r="I530" s="440"/>
      <c r="J530" s="435"/>
      <c r="K530" s="436"/>
      <c r="L530" s="436"/>
      <c r="M530" s="441"/>
      <c r="N530" s="57"/>
      <c r="O530" s="57"/>
      <c r="P530" s="60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</row>
    <row r="531" spans="1:27" ht="16.5">
      <c r="A531" s="57"/>
      <c r="B531" s="61">
        <v>526</v>
      </c>
      <c r="C531" s="146"/>
      <c r="D531" s="435"/>
      <c r="E531" s="436"/>
      <c r="F531" s="437"/>
      <c r="G531" s="438"/>
      <c r="H531" s="439"/>
      <c r="I531" s="440"/>
      <c r="J531" s="435"/>
      <c r="K531" s="436"/>
      <c r="L531" s="436"/>
      <c r="M531" s="441"/>
      <c r="N531" s="57"/>
      <c r="O531" s="57"/>
      <c r="P531" s="60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</row>
    <row r="532" spans="1:27" ht="16.5">
      <c r="A532" s="57"/>
      <c r="B532" s="61">
        <v>527</v>
      </c>
      <c r="C532" s="146"/>
      <c r="D532" s="435"/>
      <c r="E532" s="436"/>
      <c r="F532" s="437"/>
      <c r="G532" s="438"/>
      <c r="H532" s="439"/>
      <c r="I532" s="440"/>
      <c r="J532" s="435"/>
      <c r="K532" s="436"/>
      <c r="L532" s="436"/>
      <c r="M532" s="441"/>
      <c r="N532" s="57"/>
      <c r="O532" s="57"/>
      <c r="P532" s="60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</row>
    <row r="533" spans="1:27" ht="16.5">
      <c r="A533" s="57"/>
      <c r="B533" s="61">
        <v>528</v>
      </c>
      <c r="C533" s="146"/>
      <c r="D533" s="435"/>
      <c r="E533" s="436"/>
      <c r="F533" s="437"/>
      <c r="G533" s="438"/>
      <c r="H533" s="439"/>
      <c r="I533" s="440"/>
      <c r="J533" s="435"/>
      <c r="K533" s="436"/>
      <c r="L533" s="436"/>
      <c r="M533" s="441"/>
      <c r="N533" s="57"/>
      <c r="O533" s="57"/>
      <c r="P533" s="60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</row>
    <row r="534" spans="1:27" ht="16.5">
      <c r="A534" s="57"/>
      <c r="B534" s="61">
        <v>529</v>
      </c>
      <c r="C534" s="146"/>
      <c r="D534" s="435"/>
      <c r="E534" s="436"/>
      <c r="F534" s="437"/>
      <c r="G534" s="438"/>
      <c r="H534" s="439"/>
      <c r="I534" s="440"/>
      <c r="J534" s="435"/>
      <c r="K534" s="436"/>
      <c r="L534" s="436"/>
      <c r="M534" s="441"/>
      <c r="N534" s="57"/>
      <c r="O534" s="57"/>
      <c r="P534" s="60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</row>
    <row r="535" spans="1:27" ht="16.5">
      <c r="A535" s="57"/>
      <c r="B535" s="61">
        <v>530</v>
      </c>
      <c r="C535" s="146"/>
      <c r="D535" s="435"/>
      <c r="E535" s="436"/>
      <c r="F535" s="437"/>
      <c r="G535" s="438"/>
      <c r="H535" s="439"/>
      <c r="I535" s="440"/>
      <c r="J535" s="435"/>
      <c r="K535" s="436"/>
      <c r="L535" s="436"/>
      <c r="M535" s="441"/>
      <c r="N535" s="57"/>
      <c r="O535" s="57"/>
      <c r="P535" s="60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</row>
    <row r="536" spans="1:27" ht="16.5">
      <c r="A536" s="57"/>
      <c r="B536" s="61">
        <v>531</v>
      </c>
      <c r="C536" s="146"/>
      <c r="D536" s="435"/>
      <c r="E536" s="436"/>
      <c r="F536" s="437"/>
      <c r="G536" s="438"/>
      <c r="H536" s="439"/>
      <c r="I536" s="440"/>
      <c r="J536" s="435"/>
      <c r="K536" s="436"/>
      <c r="L536" s="436"/>
      <c r="M536" s="441"/>
      <c r="N536" s="57"/>
      <c r="O536" s="57"/>
      <c r="P536" s="60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</row>
    <row r="537" spans="1:27" ht="16.5">
      <c r="A537" s="57"/>
      <c r="B537" s="61">
        <v>532</v>
      </c>
      <c r="C537" s="146"/>
      <c r="D537" s="435"/>
      <c r="E537" s="436"/>
      <c r="F537" s="437"/>
      <c r="G537" s="438"/>
      <c r="H537" s="439"/>
      <c r="I537" s="440"/>
      <c r="J537" s="435"/>
      <c r="K537" s="436"/>
      <c r="L537" s="436"/>
      <c r="M537" s="441"/>
      <c r="N537" s="57"/>
      <c r="O537" s="57"/>
      <c r="P537" s="60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</row>
    <row r="538" spans="1:27" ht="16.5">
      <c r="A538" s="57"/>
      <c r="B538" s="61">
        <v>533</v>
      </c>
      <c r="C538" s="146"/>
      <c r="D538" s="435"/>
      <c r="E538" s="436"/>
      <c r="F538" s="437"/>
      <c r="G538" s="438"/>
      <c r="H538" s="439"/>
      <c r="I538" s="440"/>
      <c r="J538" s="435"/>
      <c r="K538" s="436"/>
      <c r="L538" s="436"/>
      <c r="M538" s="441"/>
      <c r="N538" s="57"/>
      <c r="O538" s="57"/>
      <c r="P538" s="60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</row>
    <row r="539" spans="1:27" ht="16.5">
      <c r="A539" s="57"/>
      <c r="B539" s="61">
        <v>534</v>
      </c>
      <c r="C539" s="146"/>
      <c r="D539" s="435"/>
      <c r="E539" s="436"/>
      <c r="F539" s="437"/>
      <c r="G539" s="438"/>
      <c r="H539" s="439"/>
      <c r="I539" s="440"/>
      <c r="J539" s="435"/>
      <c r="K539" s="436"/>
      <c r="L539" s="436"/>
      <c r="M539" s="441"/>
      <c r="N539" s="57"/>
      <c r="O539" s="57"/>
      <c r="P539" s="60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</row>
    <row r="540" spans="1:27" ht="16.5">
      <c r="A540" s="57"/>
      <c r="B540" s="61">
        <v>535</v>
      </c>
      <c r="C540" s="146"/>
      <c r="D540" s="435"/>
      <c r="E540" s="436"/>
      <c r="F540" s="437"/>
      <c r="G540" s="438"/>
      <c r="H540" s="439"/>
      <c r="I540" s="440"/>
      <c r="J540" s="435"/>
      <c r="K540" s="436"/>
      <c r="L540" s="436"/>
      <c r="M540" s="441"/>
      <c r="N540" s="57"/>
      <c r="O540" s="57"/>
      <c r="P540" s="60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</row>
    <row r="541" spans="1:27" ht="16.5">
      <c r="A541" s="57"/>
      <c r="B541" s="61">
        <v>536</v>
      </c>
      <c r="C541" s="146"/>
      <c r="D541" s="435"/>
      <c r="E541" s="436"/>
      <c r="F541" s="437"/>
      <c r="G541" s="438"/>
      <c r="H541" s="439"/>
      <c r="I541" s="440"/>
      <c r="J541" s="435"/>
      <c r="K541" s="436"/>
      <c r="L541" s="436"/>
      <c r="M541" s="441"/>
      <c r="N541" s="57"/>
      <c r="O541" s="57"/>
      <c r="P541" s="60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</row>
    <row r="542" spans="1:27" ht="16.5">
      <c r="A542" s="57"/>
      <c r="B542" s="61">
        <v>537</v>
      </c>
      <c r="C542" s="146"/>
      <c r="D542" s="435"/>
      <c r="E542" s="436"/>
      <c r="F542" s="437"/>
      <c r="G542" s="438"/>
      <c r="H542" s="439"/>
      <c r="I542" s="440"/>
      <c r="J542" s="435"/>
      <c r="K542" s="436"/>
      <c r="L542" s="436"/>
      <c r="M542" s="441"/>
      <c r="N542" s="57"/>
      <c r="O542" s="57"/>
      <c r="P542" s="60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</row>
    <row r="543" spans="1:27" ht="16.5">
      <c r="A543" s="57"/>
      <c r="B543" s="61">
        <v>538</v>
      </c>
      <c r="C543" s="146"/>
      <c r="D543" s="435"/>
      <c r="E543" s="436"/>
      <c r="F543" s="437"/>
      <c r="G543" s="438"/>
      <c r="H543" s="439"/>
      <c r="I543" s="440"/>
      <c r="J543" s="435"/>
      <c r="K543" s="436"/>
      <c r="L543" s="436"/>
      <c r="M543" s="441"/>
      <c r="N543" s="57"/>
      <c r="O543" s="57"/>
      <c r="P543" s="60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</row>
    <row r="544" spans="1:27" ht="16.5">
      <c r="A544" s="57"/>
      <c r="B544" s="61">
        <v>539</v>
      </c>
      <c r="C544" s="146"/>
      <c r="D544" s="435"/>
      <c r="E544" s="436"/>
      <c r="F544" s="437"/>
      <c r="G544" s="438"/>
      <c r="H544" s="439"/>
      <c r="I544" s="440"/>
      <c r="J544" s="435"/>
      <c r="K544" s="436"/>
      <c r="L544" s="436"/>
      <c r="M544" s="441"/>
      <c r="N544" s="57"/>
      <c r="O544" s="57"/>
      <c r="P544" s="60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</row>
    <row r="545" spans="1:27" ht="16.5">
      <c r="A545" s="57"/>
      <c r="B545" s="61">
        <v>540</v>
      </c>
      <c r="C545" s="146"/>
      <c r="D545" s="435"/>
      <c r="E545" s="436"/>
      <c r="F545" s="437"/>
      <c r="G545" s="438"/>
      <c r="H545" s="439"/>
      <c r="I545" s="440"/>
      <c r="J545" s="435"/>
      <c r="K545" s="436"/>
      <c r="L545" s="436"/>
      <c r="M545" s="441"/>
      <c r="N545" s="57"/>
      <c r="O545" s="57"/>
      <c r="P545" s="60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</row>
    <row r="546" spans="1:27" ht="16.5">
      <c r="A546" s="57"/>
      <c r="B546" s="61">
        <v>541</v>
      </c>
      <c r="C546" s="146"/>
      <c r="D546" s="435"/>
      <c r="E546" s="436"/>
      <c r="F546" s="437"/>
      <c r="G546" s="438"/>
      <c r="H546" s="439"/>
      <c r="I546" s="440"/>
      <c r="J546" s="435"/>
      <c r="K546" s="436"/>
      <c r="L546" s="436"/>
      <c r="M546" s="441"/>
      <c r="N546" s="57"/>
      <c r="O546" s="57"/>
      <c r="P546" s="60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</row>
    <row r="547" spans="1:27" ht="16.5">
      <c r="A547" s="57"/>
      <c r="B547" s="61">
        <v>542</v>
      </c>
      <c r="C547" s="146"/>
      <c r="D547" s="435"/>
      <c r="E547" s="436"/>
      <c r="F547" s="437"/>
      <c r="G547" s="438"/>
      <c r="H547" s="439"/>
      <c r="I547" s="440"/>
      <c r="J547" s="435"/>
      <c r="K547" s="436"/>
      <c r="L547" s="436"/>
      <c r="M547" s="441"/>
      <c r="N547" s="57"/>
      <c r="O547" s="57"/>
      <c r="P547" s="60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</row>
    <row r="548" spans="1:27" ht="16.5">
      <c r="A548" s="57"/>
      <c r="B548" s="61">
        <v>543</v>
      </c>
      <c r="C548" s="146"/>
      <c r="D548" s="435"/>
      <c r="E548" s="436"/>
      <c r="F548" s="437"/>
      <c r="G548" s="438"/>
      <c r="H548" s="439"/>
      <c r="I548" s="440"/>
      <c r="J548" s="435"/>
      <c r="K548" s="436"/>
      <c r="L548" s="436"/>
      <c r="M548" s="441"/>
      <c r="N548" s="57"/>
      <c r="O548" s="57"/>
      <c r="P548" s="60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</row>
    <row r="549" spans="1:27" ht="16.5">
      <c r="A549" s="57"/>
      <c r="B549" s="61">
        <v>544</v>
      </c>
      <c r="C549" s="146"/>
      <c r="D549" s="435"/>
      <c r="E549" s="436"/>
      <c r="F549" s="437"/>
      <c r="G549" s="438"/>
      <c r="H549" s="439"/>
      <c r="I549" s="440"/>
      <c r="J549" s="435"/>
      <c r="K549" s="436"/>
      <c r="L549" s="436"/>
      <c r="M549" s="441"/>
      <c r="N549" s="57"/>
      <c r="O549" s="57"/>
      <c r="P549" s="60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</row>
    <row r="550" spans="1:27" ht="16.5">
      <c r="A550" s="57"/>
      <c r="B550" s="61">
        <v>545</v>
      </c>
      <c r="C550" s="146"/>
      <c r="D550" s="435"/>
      <c r="E550" s="436"/>
      <c r="F550" s="437"/>
      <c r="G550" s="438"/>
      <c r="H550" s="439"/>
      <c r="I550" s="440"/>
      <c r="J550" s="435"/>
      <c r="K550" s="436"/>
      <c r="L550" s="436"/>
      <c r="M550" s="441"/>
      <c r="N550" s="57"/>
      <c r="O550" s="57"/>
      <c r="P550" s="60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</row>
    <row r="551" spans="1:27" ht="16.5">
      <c r="A551" s="57"/>
      <c r="B551" s="61">
        <v>546</v>
      </c>
      <c r="C551" s="146"/>
      <c r="D551" s="435"/>
      <c r="E551" s="436"/>
      <c r="F551" s="437"/>
      <c r="G551" s="438"/>
      <c r="H551" s="439"/>
      <c r="I551" s="440"/>
      <c r="J551" s="435"/>
      <c r="K551" s="436"/>
      <c r="L551" s="436"/>
      <c r="M551" s="441"/>
      <c r="N551" s="57"/>
      <c r="O551" s="57"/>
      <c r="P551" s="60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</row>
    <row r="552" spans="1:27" ht="16.5">
      <c r="A552" s="57"/>
      <c r="B552" s="61">
        <v>547</v>
      </c>
      <c r="C552" s="146"/>
      <c r="D552" s="435"/>
      <c r="E552" s="436"/>
      <c r="F552" s="437"/>
      <c r="G552" s="438"/>
      <c r="H552" s="439"/>
      <c r="I552" s="440"/>
      <c r="J552" s="435"/>
      <c r="K552" s="436"/>
      <c r="L552" s="436"/>
      <c r="M552" s="441"/>
      <c r="N552" s="57"/>
      <c r="O552" s="57"/>
      <c r="P552" s="60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</row>
    <row r="553" spans="1:27" ht="16.5">
      <c r="A553" s="57"/>
      <c r="B553" s="61">
        <v>548</v>
      </c>
      <c r="C553" s="146"/>
      <c r="D553" s="435"/>
      <c r="E553" s="436"/>
      <c r="F553" s="437"/>
      <c r="G553" s="438"/>
      <c r="H553" s="439"/>
      <c r="I553" s="440"/>
      <c r="J553" s="435"/>
      <c r="K553" s="436"/>
      <c r="L553" s="436"/>
      <c r="M553" s="441"/>
      <c r="N553" s="57"/>
      <c r="O553" s="57"/>
      <c r="P553" s="60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</row>
    <row r="554" spans="1:27" ht="16.5">
      <c r="A554" s="57"/>
      <c r="B554" s="61">
        <v>549</v>
      </c>
      <c r="C554" s="146"/>
      <c r="D554" s="435"/>
      <c r="E554" s="436"/>
      <c r="F554" s="437"/>
      <c r="G554" s="438"/>
      <c r="H554" s="439"/>
      <c r="I554" s="440"/>
      <c r="J554" s="435"/>
      <c r="K554" s="436"/>
      <c r="L554" s="436"/>
      <c r="M554" s="441"/>
      <c r="N554" s="57"/>
      <c r="O554" s="57"/>
      <c r="P554" s="60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</row>
    <row r="555" spans="1:27" ht="16.5">
      <c r="A555" s="57"/>
      <c r="B555" s="61">
        <v>550</v>
      </c>
      <c r="C555" s="146"/>
      <c r="D555" s="435"/>
      <c r="E555" s="436"/>
      <c r="F555" s="437"/>
      <c r="G555" s="438"/>
      <c r="H555" s="439"/>
      <c r="I555" s="440"/>
      <c r="J555" s="435"/>
      <c r="K555" s="436"/>
      <c r="L555" s="436"/>
      <c r="M555" s="441"/>
      <c r="N555" s="57"/>
      <c r="O555" s="57"/>
      <c r="P555" s="60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</row>
    <row r="556" spans="1:27" ht="16.5">
      <c r="A556" s="57"/>
      <c r="B556" s="61">
        <v>551</v>
      </c>
      <c r="C556" s="146"/>
      <c r="D556" s="435"/>
      <c r="E556" s="436"/>
      <c r="F556" s="437"/>
      <c r="G556" s="438"/>
      <c r="H556" s="439"/>
      <c r="I556" s="440"/>
      <c r="J556" s="435"/>
      <c r="K556" s="436"/>
      <c r="L556" s="436"/>
      <c r="M556" s="441"/>
      <c r="N556" s="57"/>
      <c r="O556" s="57"/>
      <c r="P556" s="60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</row>
    <row r="557" spans="1:27" ht="16.5">
      <c r="A557" s="57"/>
      <c r="B557" s="61">
        <v>552</v>
      </c>
      <c r="C557" s="146"/>
      <c r="D557" s="435"/>
      <c r="E557" s="436"/>
      <c r="F557" s="437"/>
      <c r="G557" s="438"/>
      <c r="H557" s="439"/>
      <c r="I557" s="440"/>
      <c r="J557" s="435"/>
      <c r="K557" s="436"/>
      <c r="L557" s="436"/>
      <c r="M557" s="441"/>
      <c r="N557" s="57"/>
      <c r="O557" s="57"/>
      <c r="P557" s="60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</row>
    <row r="558" spans="1:27" ht="16.5">
      <c r="A558" s="57"/>
      <c r="B558" s="61">
        <v>553</v>
      </c>
      <c r="C558" s="146"/>
      <c r="D558" s="435"/>
      <c r="E558" s="436"/>
      <c r="F558" s="437"/>
      <c r="G558" s="438"/>
      <c r="H558" s="439"/>
      <c r="I558" s="440"/>
      <c r="J558" s="435"/>
      <c r="K558" s="436"/>
      <c r="L558" s="436"/>
      <c r="M558" s="441"/>
      <c r="N558" s="57"/>
      <c r="O558" s="57"/>
      <c r="P558" s="60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</row>
    <row r="559" spans="1:27" ht="16.5">
      <c r="A559" s="57"/>
      <c r="B559" s="61">
        <v>554</v>
      </c>
      <c r="C559" s="146"/>
      <c r="D559" s="435"/>
      <c r="E559" s="436"/>
      <c r="F559" s="437"/>
      <c r="G559" s="438"/>
      <c r="H559" s="439"/>
      <c r="I559" s="440"/>
      <c r="J559" s="435"/>
      <c r="K559" s="436"/>
      <c r="L559" s="436"/>
      <c r="M559" s="441"/>
      <c r="N559" s="57"/>
      <c r="O559" s="57"/>
      <c r="P559" s="60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</row>
    <row r="560" spans="1:27" ht="16.5">
      <c r="A560" s="57"/>
      <c r="B560" s="61">
        <v>555</v>
      </c>
      <c r="C560" s="146"/>
      <c r="D560" s="435"/>
      <c r="E560" s="436"/>
      <c r="F560" s="437"/>
      <c r="G560" s="438"/>
      <c r="H560" s="439"/>
      <c r="I560" s="440"/>
      <c r="J560" s="435"/>
      <c r="K560" s="436"/>
      <c r="L560" s="436"/>
      <c r="M560" s="441"/>
      <c r="N560" s="57"/>
      <c r="O560" s="57"/>
      <c r="P560" s="60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</row>
    <row r="561" spans="1:27" ht="16.5">
      <c r="A561" s="57"/>
      <c r="B561" s="61">
        <v>556</v>
      </c>
      <c r="C561" s="146"/>
      <c r="D561" s="435"/>
      <c r="E561" s="436"/>
      <c r="F561" s="437"/>
      <c r="G561" s="438"/>
      <c r="H561" s="439"/>
      <c r="I561" s="440"/>
      <c r="J561" s="435"/>
      <c r="K561" s="436"/>
      <c r="L561" s="436"/>
      <c r="M561" s="441"/>
      <c r="N561" s="57"/>
      <c r="O561" s="57"/>
      <c r="P561" s="60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</row>
    <row r="562" spans="1:27" ht="16.5">
      <c r="A562" s="57"/>
      <c r="B562" s="61">
        <v>557</v>
      </c>
      <c r="C562" s="146"/>
      <c r="D562" s="435"/>
      <c r="E562" s="436"/>
      <c r="F562" s="437"/>
      <c r="G562" s="438"/>
      <c r="H562" s="439"/>
      <c r="I562" s="440"/>
      <c r="J562" s="435"/>
      <c r="K562" s="436"/>
      <c r="L562" s="436"/>
      <c r="M562" s="441"/>
      <c r="N562" s="57"/>
      <c r="O562" s="57"/>
      <c r="P562" s="60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</row>
    <row r="563" spans="1:27" ht="16.5">
      <c r="A563" s="57"/>
      <c r="B563" s="61">
        <v>558</v>
      </c>
      <c r="C563" s="146"/>
      <c r="D563" s="435"/>
      <c r="E563" s="436"/>
      <c r="F563" s="437"/>
      <c r="G563" s="438"/>
      <c r="H563" s="439"/>
      <c r="I563" s="440"/>
      <c r="J563" s="435"/>
      <c r="K563" s="436"/>
      <c r="L563" s="436"/>
      <c r="M563" s="441"/>
      <c r="N563" s="57"/>
      <c r="O563" s="57"/>
      <c r="P563" s="60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</row>
    <row r="564" spans="1:27" ht="16.5">
      <c r="A564" s="57"/>
      <c r="B564" s="61">
        <v>559</v>
      </c>
      <c r="C564" s="146"/>
      <c r="D564" s="435"/>
      <c r="E564" s="436"/>
      <c r="F564" s="437"/>
      <c r="G564" s="438"/>
      <c r="H564" s="439"/>
      <c r="I564" s="440"/>
      <c r="J564" s="435"/>
      <c r="K564" s="436"/>
      <c r="L564" s="436"/>
      <c r="M564" s="441"/>
      <c r="N564" s="57"/>
      <c r="O564" s="57"/>
      <c r="P564" s="60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</row>
    <row r="565" spans="1:27" ht="16.5">
      <c r="A565" s="57"/>
      <c r="B565" s="61">
        <v>560</v>
      </c>
      <c r="C565" s="146"/>
      <c r="D565" s="435"/>
      <c r="E565" s="436"/>
      <c r="F565" s="437"/>
      <c r="G565" s="438"/>
      <c r="H565" s="439"/>
      <c r="I565" s="440"/>
      <c r="J565" s="435"/>
      <c r="K565" s="436"/>
      <c r="L565" s="436"/>
      <c r="M565" s="441"/>
      <c r="N565" s="57"/>
      <c r="O565" s="57"/>
      <c r="P565" s="60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</row>
    <row r="566" spans="1:27" ht="16.5">
      <c r="A566" s="57"/>
      <c r="B566" s="61">
        <v>561</v>
      </c>
      <c r="C566" s="146"/>
      <c r="D566" s="435"/>
      <c r="E566" s="436"/>
      <c r="F566" s="437"/>
      <c r="G566" s="438"/>
      <c r="H566" s="439"/>
      <c r="I566" s="440"/>
      <c r="J566" s="435"/>
      <c r="K566" s="436"/>
      <c r="L566" s="436"/>
      <c r="M566" s="441"/>
      <c r="N566" s="57"/>
      <c r="O566" s="57"/>
      <c r="P566" s="60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</row>
    <row r="567" spans="1:27" ht="16.5">
      <c r="A567" s="57"/>
      <c r="B567" s="61">
        <v>562</v>
      </c>
      <c r="C567" s="146"/>
      <c r="D567" s="435"/>
      <c r="E567" s="436"/>
      <c r="F567" s="437"/>
      <c r="G567" s="438"/>
      <c r="H567" s="439"/>
      <c r="I567" s="440"/>
      <c r="J567" s="435"/>
      <c r="K567" s="436"/>
      <c r="L567" s="436"/>
      <c r="M567" s="441"/>
      <c r="N567" s="57"/>
      <c r="O567" s="57"/>
      <c r="P567" s="60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</row>
    <row r="568" spans="1:27" ht="16.5">
      <c r="A568" s="57"/>
      <c r="B568" s="61">
        <v>563</v>
      </c>
      <c r="C568" s="146"/>
      <c r="D568" s="435"/>
      <c r="E568" s="436"/>
      <c r="F568" s="437"/>
      <c r="G568" s="438"/>
      <c r="H568" s="439"/>
      <c r="I568" s="440"/>
      <c r="J568" s="435"/>
      <c r="K568" s="436"/>
      <c r="L568" s="436"/>
      <c r="M568" s="441"/>
      <c r="N568" s="57"/>
      <c r="O568" s="57"/>
      <c r="P568" s="60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</row>
    <row r="569" spans="1:27" ht="16.5">
      <c r="A569" s="57"/>
      <c r="B569" s="61">
        <v>564</v>
      </c>
      <c r="C569" s="146"/>
      <c r="D569" s="435"/>
      <c r="E569" s="436"/>
      <c r="F569" s="437"/>
      <c r="G569" s="438"/>
      <c r="H569" s="439"/>
      <c r="I569" s="440"/>
      <c r="J569" s="435"/>
      <c r="K569" s="436"/>
      <c r="L569" s="436"/>
      <c r="M569" s="441"/>
      <c r="N569" s="57"/>
      <c r="O569" s="57"/>
      <c r="P569" s="60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</row>
    <row r="570" spans="1:27" ht="16.5">
      <c r="A570" s="57"/>
      <c r="B570" s="61">
        <v>565</v>
      </c>
      <c r="C570" s="146"/>
      <c r="D570" s="435"/>
      <c r="E570" s="436"/>
      <c r="F570" s="437"/>
      <c r="G570" s="438"/>
      <c r="H570" s="439"/>
      <c r="I570" s="440"/>
      <c r="J570" s="435"/>
      <c r="K570" s="436"/>
      <c r="L570" s="436"/>
      <c r="M570" s="441"/>
      <c r="N570" s="57"/>
      <c r="O570" s="57"/>
      <c r="P570" s="60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</row>
    <row r="571" spans="1:27" ht="16.5">
      <c r="A571" s="57"/>
      <c r="B571" s="61">
        <v>566</v>
      </c>
      <c r="C571" s="146"/>
      <c r="D571" s="435"/>
      <c r="E571" s="436"/>
      <c r="F571" s="437"/>
      <c r="G571" s="438"/>
      <c r="H571" s="439"/>
      <c r="I571" s="440"/>
      <c r="J571" s="435"/>
      <c r="K571" s="436"/>
      <c r="L571" s="436"/>
      <c r="M571" s="441"/>
      <c r="N571" s="57"/>
      <c r="O571" s="57"/>
      <c r="P571" s="60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</row>
    <row r="572" spans="1:27" ht="16.5">
      <c r="A572" s="57"/>
      <c r="B572" s="61">
        <v>567</v>
      </c>
      <c r="C572" s="146"/>
      <c r="D572" s="435"/>
      <c r="E572" s="436"/>
      <c r="F572" s="437"/>
      <c r="G572" s="438"/>
      <c r="H572" s="439"/>
      <c r="I572" s="440"/>
      <c r="J572" s="435"/>
      <c r="K572" s="436"/>
      <c r="L572" s="436"/>
      <c r="M572" s="441"/>
      <c r="N572" s="57"/>
      <c r="O572" s="57"/>
      <c r="P572" s="60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</row>
    <row r="573" spans="1:27" ht="16.5">
      <c r="A573" s="57"/>
      <c r="B573" s="61">
        <v>568</v>
      </c>
      <c r="C573" s="146"/>
      <c r="D573" s="435"/>
      <c r="E573" s="436"/>
      <c r="F573" s="437"/>
      <c r="G573" s="438"/>
      <c r="H573" s="439"/>
      <c r="I573" s="440"/>
      <c r="J573" s="435"/>
      <c r="K573" s="436"/>
      <c r="L573" s="436"/>
      <c r="M573" s="441"/>
      <c r="N573" s="57"/>
      <c r="O573" s="57"/>
      <c r="P573" s="60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</row>
    <row r="574" spans="1:27" ht="16.5">
      <c r="A574" s="57"/>
      <c r="B574" s="61">
        <v>569</v>
      </c>
      <c r="C574" s="146"/>
      <c r="D574" s="435"/>
      <c r="E574" s="436"/>
      <c r="F574" s="437"/>
      <c r="G574" s="438"/>
      <c r="H574" s="439"/>
      <c r="I574" s="440"/>
      <c r="J574" s="435"/>
      <c r="K574" s="436"/>
      <c r="L574" s="436"/>
      <c r="M574" s="441"/>
      <c r="N574" s="57"/>
      <c r="O574" s="57"/>
      <c r="P574" s="60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</row>
    <row r="575" spans="1:27" ht="16.5">
      <c r="A575" s="57"/>
      <c r="B575" s="61">
        <v>570</v>
      </c>
      <c r="C575" s="146"/>
      <c r="D575" s="435"/>
      <c r="E575" s="436"/>
      <c r="F575" s="437"/>
      <c r="G575" s="438"/>
      <c r="H575" s="439"/>
      <c r="I575" s="440"/>
      <c r="J575" s="435"/>
      <c r="K575" s="436"/>
      <c r="L575" s="436"/>
      <c r="M575" s="441"/>
      <c r="N575" s="57"/>
      <c r="O575" s="57"/>
      <c r="P575" s="60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</row>
    <row r="576" spans="1:27" ht="16.5">
      <c r="A576" s="57"/>
      <c r="B576" s="61">
        <v>571</v>
      </c>
      <c r="C576" s="146"/>
      <c r="D576" s="435"/>
      <c r="E576" s="436"/>
      <c r="F576" s="437"/>
      <c r="G576" s="438"/>
      <c r="H576" s="439"/>
      <c r="I576" s="440"/>
      <c r="J576" s="435"/>
      <c r="K576" s="436"/>
      <c r="L576" s="436"/>
      <c r="M576" s="441"/>
      <c r="N576" s="57"/>
      <c r="O576" s="57"/>
      <c r="P576" s="60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</row>
    <row r="577" spans="1:27" ht="16.5">
      <c r="A577" s="57"/>
      <c r="B577" s="61">
        <v>572</v>
      </c>
      <c r="C577" s="146"/>
      <c r="D577" s="435"/>
      <c r="E577" s="436"/>
      <c r="F577" s="437"/>
      <c r="G577" s="438"/>
      <c r="H577" s="439"/>
      <c r="I577" s="440"/>
      <c r="J577" s="435"/>
      <c r="K577" s="436"/>
      <c r="L577" s="436"/>
      <c r="M577" s="441"/>
      <c r="N577" s="57"/>
      <c r="O577" s="57"/>
      <c r="P577" s="60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</row>
    <row r="578" spans="1:27" ht="16.5">
      <c r="A578" s="57"/>
      <c r="B578" s="61">
        <v>573</v>
      </c>
      <c r="C578" s="146"/>
      <c r="D578" s="435"/>
      <c r="E578" s="436"/>
      <c r="F578" s="437"/>
      <c r="G578" s="438"/>
      <c r="H578" s="439"/>
      <c r="I578" s="440"/>
      <c r="J578" s="435"/>
      <c r="K578" s="436"/>
      <c r="L578" s="436"/>
      <c r="M578" s="441"/>
      <c r="N578" s="57"/>
      <c r="O578" s="57"/>
      <c r="P578" s="60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</row>
    <row r="579" spans="1:27" ht="16.5">
      <c r="A579" s="57"/>
      <c r="B579" s="61">
        <v>574</v>
      </c>
      <c r="C579" s="146"/>
      <c r="D579" s="435"/>
      <c r="E579" s="436"/>
      <c r="F579" s="437"/>
      <c r="G579" s="438"/>
      <c r="H579" s="439"/>
      <c r="I579" s="440"/>
      <c r="J579" s="435"/>
      <c r="K579" s="436"/>
      <c r="L579" s="436"/>
      <c r="M579" s="441"/>
      <c r="N579" s="57"/>
      <c r="O579" s="57"/>
      <c r="P579" s="60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</row>
    <row r="580" spans="1:27" ht="16.5">
      <c r="A580" s="57"/>
      <c r="B580" s="61">
        <v>575</v>
      </c>
      <c r="C580" s="146"/>
      <c r="D580" s="435"/>
      <c r="E580" s="436"/>
      <c r="F580" s="437"/>
      <c r="G580" s="438"/>
      <c r="H580" s="439"/>
      <c r="I580" s="440"/>
      <c r="J580" s="435"/>
      <c r="K580" s="436"/>
      <c r="L580" s="436"/>
      <c r="M580" s="441"/>
      <c r="N580" s="57"/>
      <c r="O580" s="57"/>
      <c r="P580" s="60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</row>
    <row r="581" spans="1:27" ht="16.5">
      <c r="A581" s="57"/>
      <c r="B581" s="61">
        <v>576</v>
      </c>
      <c r="C581" s="146"/>
      <c r="D581" s="435"/>
      <c r="E581" s="436"/>
      <c r="F581" s="437"/>
      <c r="G581" s="438"/>
      <c r="H581" s="439"/>
      <c r="I581" s="440"/>
      <c r="J581" s="435"/>
      <c r="K581" s="436"/>
      <c r="L581" s="436"/>
      <c r="M581" s="441"/>
      <c r="N581" s="57"/>
      <c r="O581" s="57"/>
      <c r="P581" s="60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</row>
    <row r="582" spans="1:27" ht="16.5">
      <c r="A582" s="57"/>
      <c r="B582" s="61">
        <v>577</v>
      </c>
      <c r="C582" s="146"/>
      <c r="D582" s="435"/>
      <c r="E582" s="436"/>
      <c r="F582" s="437"/>
      <c r="G582" s="438"/>
      <c r="H582" s="439"/>
      <c r="I582" s="440"/>
      <c r="J582" s="435"/>
      <c r="K582" s="436"/>
      <c r="L582" s="436"/>
      <c r="M582" s="441"/>
      <c r="N582" s="57"/>
      <c r="O582" s="57"/>
      <c r="P582" s="60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</row>
    <row r="583" spans="1:27" ht="16.5">
      <c r="A583" s="57"/>
      <c r="B583" s="61">
        <v>578</v>
      </c>
      <c r="C583" s="146"/>
      <c r="D583" s="435"/>
      <c r="E583" s="436"/>
      <c r="F583" s="437"/>
      <c r="G583" s="438"/>
      <c r="H583" s="439"/>
      <c r="I583" s="440"/>
      <c r="J583" s="435"/>
      <c r="K583" s="436"/>
      <c r="L583" s="436"/>
      <c r="M583" s="441"/>
      <c r="N583" s="57"/>
      <c r="O583" s="57"/>
      <c r="P583" s="60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</row>
    <row r="584" spans="1:27" ht="16.5">
      <c r="A584" s="57"/>
      <c r="B584" s="61">
        <v>579</v>
      </c>
      <c r="C584" s="146"/>
      <c r="D584" s="435"/>
      <c r="E584" s="436"/>
      <c r="F584" s="437"/>
      <c r="G584" s="438"/>
      <c r="H584" s="439"/>
      <c r="I584" s="440"/>
      <c r="J584" s="435"/>
      <c r="K584" s="436"/>
      <c r="L584" s="436"/>
      <c r="M584" s="441"/>
      <c r="N584" s="57"/>
      <c r="O584" s="57"/>
      <c r="P584" s="60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</row>
    <row r="585" spans="1:27" ht="16.5">
      <c r="A585" s="57"/>
      <c r="B585" s="61">
        <v>580</v>
      </c>
      <c r="C585" s="146"/>
      <c r="D585" s="435"/>
      <c r="E585" s="436"/>
      <c r="F585" s="437"/>
      <c r="G585" s="438"/>
      <c r="H585" s="439"/>
      <c r="I585" s="440"/>
      <c r="J585" s="435"/>
      <c r="K585" s="436"/>
      <c r="L585" s="436"/>
      <c r="M585" s="441"/>
      <c r="N585" s="57"/>
      <c r="O585" s="57"/>
      <c r="P585" s="60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</row>
    <row r="586" spans="1:27" ht="16.5">
      <c r="A586" s="57"/>
      <c r="B586" s="61">
        <v>581</v>
      </c>
      <c r="C586" s="146"/>
      <c r="D586" s="435"/>
      <c r="E586" s="436"/>
      <c r="F586" s="437"/>
      <c r="G586" s="438"/>
      <c r="H586" s="439"/>
      <c r="I586" s="440"/>
      <c r="J586" s="435"/>
      <c r="K586" s="436"/>
      <c r="L586" s="436"/>
      <c r="M586" s="441"/>
      <c r="N586" s="57"/>
      <c r="O586" s="57"/>
      <c r="P586" s="60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</row>
    <row r="587" spans="1:27" ht="16.5">
      <c r="A587" s="57"/>
      <c r="B587" s="61">
        <v>582</v>
      </c>
      <c r="C587" s="146"/>
      <c r="D587" s="435"/>
      <c r="E587" s="436"/>
      <c r="F587" s="437"/>
      <c r="G587" s="438"/>
      <c r="H587" s="439"/>
      <c r="I587" s="440"/>
      <c r="J587" s="435"/>
      <c r="K587" s="436"/>
      <c r="L587" s="436"/>
      <c r="M587" s="441"/>
      <c r="N587" s="57"/>
      <c r="O587" s="57"/>
      <c r="P587" s="60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</row>
    <row r="588" spans="1:27" ht="16.5">
      <c r="A588" s="57"/>
      <c r="B588" s="61">
        <v>583</v>
      </c>
      <c r="C588" s="146"/>
      <c r="D588" s="435"/>
      <c r="E588" s="436"/>
      <c r="F588" s="437"/>
      <c r="G588" s="438"/>
      <c r="H588" s="439"/>
      <c r="I588" s="440"/>
      <c r="J588" s="435"/>
      <c r="K588" s="436"/>
      <c r="L588" s="436"/>
      <c r="M588" s="441"/>
      <c r="N588" s="57"/>
      <c r="O588" s="57"/>
      <c r="P588" s="60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</row>
    <row r="589" spans="1:27" ht="16.5">
      <c r="A589" s="57"/>
      <c r="B589" s="61">
        <v>584</v>
      </c>
      <c r="C589" s="146"/>
      <c r="D589" s="435"/>
      <c r="E589" s="436"/>
      <c r="F589" s="437"/>
      <c r="G589" s="438"/>
      <c r="H589" s="439"/>
      <c r="I589" s="440"/>
      <c r="J589" s="435"/>
      <c r="K589" s="436"/>
      <c r="L589" s="436"/>
      <c r="M589" s="441"/>
      <c r="N589" s="57"/>
      <c r="O589" s="57"/>
      <c r="P589" s="60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</row>
    <row r="590" spans="1:27" ht="16.5">
      <c r="A590" s="57"/>
      <c r="B590" s="61">
        <v>585</v>
      </c>
      <c r="C590" s="146"/>
      <c r="D590" s="435"/>
      <c r="E590" s="436"/>
      <c r="F590" s="437"/>
      <c r="G590" s="438"/>
      <c r="H590" s="439"/>
      <c r="I590" s="440"/>
      <c r="J590" s="435"/>
      <c r="K590" s="436"/>
      <c r="L590" s="436"/>
      <c r="M590" s="441"/>
      <c r="N590" s="57"/>
      <c r="O590" s="57"/>
      <c r="P590" s="60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</row>
    <row r="591" spans="1:27" ht="16.5">
      <c r="A591" s="57"/>
      <c r="B591" s="61">
        <v>586</v>
      </c>
      <c r="C591" s="146"/>
      <c r="D591" s="435"/>
      <c r="E591" s="436"/>
      <c r="F591" s="437"/>
      <c r="G591" s="438"/>
      <c r="H591" s="439"/>
      <c r="I591" s="440"/>
      <c r="J591" s="435"/>
      <c r="K591" s="436"/>
      <c r="L591" s="436"/>
      <c r="M591" s="441"/>
      <c r="N591" s="57"/>
      <c r="O591" s="57"/>
      <c r="P591" s="60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</row>
    <row r="592" spans="1:27" ht="16.5">
      <c r="A592" s="57"/>
      <c r="B592" s="61">
        <v>587</v>
      </c>
      <c r="C592" s="146"/>
      <c r="D592" s="435"/>
      <c r="E592" s="436"/>
      <c r="F592" s="437"/>
      <c r="G592" s="438"/>
      <c r="H592" s="439"/>
      <c r="I592" s="440"/>
      <c r="J592" s="435"/>
      <c r="K592" s="436"/>
      <c r="L592" s="436"/>
      <c r="M592" s="441"/>
      <c r="N592" s="57"/>
      <c r="O592" s="57"/>
      <c r="P592" s="60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</row>
    <row r="593" spans="1:27" ht="16.5">
      <c r="A593" s="57"/>
      <c r="B593" s="61">
        <v>588</v>
      </c>
      <c r="C593" s="146"/>
      <c r="D593" s="435"/>
      <c r="E593" s="436"/>
      <c r="F593" s="437"/>
      <c r="G593" s="438"/>
      <c r="H593" s="439"/>
      <c r="I593" s="440"/>
      <c r="J593" s="435"/>
      <c r="K593" s="436"/>
      <c r="L593" s="436"/>
      <c r="M593" s="441"/>
      <c r="N593" s="57"/>
      <c r="O593" s="57"/>
      <c r="P593" s="60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</row>
    <row r="594" spans="1:27" ht="16.5">
      <c r="A594" s="57"/>
      <c r="B594" s="61">
        <v>589</v>
      </c>
      <c r="C594" s="146"/>
      <c r="D594" s="435"/>
      <c r="E594" s="436"/>
      <c r="F594" s="437"/>
      <c r="G594" s="438"/>
      <c r="H594" s="439"/>
      <c r="I594" s="440"/>
      <c r="J594" s="435"/>
      <c r="K594" s="436"/>
      <c r="L594" s="436"/>
      <c r="M594" s="441"/>
      <c r="N594" s="57"/>
      <c r="O594" s="57"/>
      <c r="P594" s="60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</row>
    <row r="595" spans="1:27" ht="16.5">
      <c r="A595" s="57"/>
      <c r="B595" s="61">
        <v>590</v>
      </c>
      <c r="C595" s="146"/>
      <c r="D595" s="435"/>
      <c r="E595" s="436"/>
      <c r="F595" s="437"/>
      <c r="G595" s="438"/>
      <c r="H595" s="439"/>
      <c r="I595" s="440"/>
      <c r="J595" s="435"/>
      <c r="K595" s="436"/>
      <c r="L595" s="436"/>
      <c r="M595" s="441"/>
      <c r="N595" s="57"/>
      <c r="O595" s="57"/>
      <c r="P595" s="60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</row>
    <row r="596" spans="1:27" ht="16.5">
      <c r="A596" s="57"/>
      <c r="B596" s="61">
        <v>591</v>
      </c>
      <c r="C596" s="146"/>
      <c r="D596" s="435"/>
      <c r="E596" s="436"/>
      <c r="F596" s="437"/>
      <c r="G596" s="438"/>
      <c r="H596" s="439"/>
      <c r="I596" s="440"/>
      <c r="J596" s="435"/>
      <c r="K596" s="436"/>
      <c r="L596" s="436"/>
      <c r="M596" s="441"/>
      <c r="N596" s="57"/>
      <c r="O596" s="57"/>
      <c r="P596" s="60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</row>
    <row r="597" spans="1:27" ht="16.5">
      <c r="A597" s="57"/>
      <c r="B597" s="61">
        <v>592</v>
      </c>
      <c r="C597" s="146"/>
      <c r="D597" s="435"/>
      <c r="E597" s="436"/>
      <c r="F597" s="437"/>
      <c r="G597" s="438"/>
      <c r="H597" s="439"/>
      <c r="I597" s="440"/>
      <c r="J597" s="435"/>
      <c r="K597" s="436"/>
      <c r="L597" s="436"/>
      <c r="M597" s="441"/>
      <c r="N597" s="57"/>
      <c r="O597" s="57"/>
      <c r="P597" s="60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</row>
    <row r="598" spans="1:27" ht="16.5">
      <c r="A598" s="57"/>
      <c r="B598" s="61">
        <v>593</v>
      </c>
      <c r="C598" s="146"/>
      <c r="D598" s="435"/>
      <c r="E598" s="436"/>
      <c r="F598" s="437"/>
      <c r="G598" s="438"/>
      <c r="H598" s="439"/>
      <c r="I598" s="440"/>
      <c r="J598" s="435"/>
      <c r="K598" s="436"/>
      <c r="L598" s="436"/>
      <c r="M598" s="441"/>
      <c r="N598" s="57"/>
      <c r="O598" s="57"/>
      <c r="P598" s="60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</row>
    <row r="599" spans="1:27" ht="16.5">
      <c r="A599" s="57"/>
      <c r="B599" s="61">
        <v>594</v>
      </c>
      <c r="C599" s="146"/>
      <c r="D599" s="435"/>
      <c r="E599" s="436"/>
      <c r="F599" s="437"/>
      <c r="G599" s="438"/>
      <c r="H599" s="439"/>
      <c r="I599" s="440"/>
      <c r="J599" s="435"/>
      <c r="K599" s="436"/>
      <c r="L599" s="436"/>
      <c r="M599" s="441"/>
      <c r="N599" s="57"/>
      <c r="O599" s="57"/>
      <c r="P599" s="60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</row>
    <row r="600" spans="1:27" ht="16.5">
      <c r="A600" s="57"/>
      <c r="B600" s="61">
        <v>595</v>
      </c>
      <c r="C600" s="146"/>
      <c r="D600" s="435"/>
      <c r="E600" s="436"/>
      <c r="F600" s="437"/>
      <c r="G600" s="438"/>
      <c r="H600" s="439"/>
      <c r="I600" s="440"/>
      <c r="J600" s="435"/>
      <c r="K600" s="436"/>
      <c r="L600" s="436"/>
      <c r="M600" s="441"/>
      <c r="N600" s="57"/>
      <c r="O600" s="57"/>
      <c r="P600" s="60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</row>
    <row r="601" spans="1:27" ht="16.5">
      <c r="A601" s="57"/>
      <c r="B601" s="61">
        <v>596</v>
      </c>
      <c r="C601" s="146"/>
      <c r="D601" s="435"/>
      <c r="E601" s="436"/>
      <c r="F601" s="437"/>
      <c r="G601" s="438"/>
      <c r="H601" s="439"/>
      <c r="I601" s="440"/>
      <c r="J601" s="435"/>
      <c r="K601" s="436"/>
      <c r="L601" s="436"/>
      <c r="M601" s="441"/>
      <c r="N601" s="57"/>
      <c r="O601" s="57"/>
      <c r="P601" s="60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</row>
    <row r="602" spans="1:27" ht="16.5">
      <c r="A602" s="57"/>
      <c r="B602" s="61">
        <v>597</v>
      </c>
      <c r="C602" s="146"/>
      <c r="D602" s="435"/>
      <c r="E602" s="436"/>
      <c r="F602" s="437"/>
      <c r="G602" s="438"/>
      <c r="H602" s="439"/>
      <c r="I602" s="440"/>
      <c r="J602" s="435"/>
      <c r="K602" s="436"/>
      <c r="L602" s="436"/>
      <c r="M602" s="441"/>
      <c r="N602" s="57"/>
      <c r="O602" s="57"/>
      <c r="P602" s="60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</row>
    <row r="603" spans="1:27" ht="16.5">
      <c r="A603" s="57"/>
      <c r="B603" s="61">
        <v>598</v>
      </c>
      <c r="C603" s="146"/>
      <c r="D603" s="435"/>
      <c r="E603" s="436"/>
      <c r="F603" s="437"/>
      <c r="G603" s="438"/>
      <c r="H603" s="439"/>
      <c r="I603" s="440"/>
      <c r="J603" s="435"/>
      <c r="K603" s="436"/>
      <c r="L603" s="436"/>
      <c r="M603" s="441"/>
      <c r="N603" s="57"/>
      <c r="O603" s="57"/>
      <c r="P603" s="60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</row>
    <row r="604" spans="1:27" ht="16.5">
      <c r="A604" s="57"/>
      <c r="B604" s="61">
        <v>599</v>
      </c>
      <c r="C604" s="146"/>
      <c r="D604" s="435"/>
      <c r="E604" s="436"/>
      <c r="F604" s="437"/>
      <c r="G604" s="438"/>
      <c r="H604" s="439"/>
      <c r="I604" s="440"/>
      <c r="J604" s="435"/>
      <c r="K604" s="436"/>
      <c r="L604" s="436"/>
      <c r="M604" s="441"/>
      <c r="N604" s="57"/>
      <c r="O604" s="57"/>
      <c r="P604" s="60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</row>
    <row r="605" spans="1:27" ht="16.5">
      <c r="A605" s="57"/>
      <c r="B605" s="61">
        <v>600</v>
      </c>
      <c r="C605" s="146"/>
      <c r="D605" s="435"/>
      <c r="E605" s="436"/>
      <c r="F605" s="437"/>
      <c r="G605" s="438"/>
      <c r="H605" s="439"/>
      <c r="I605" s="440"/>
      <c r="J605" s="435"/>
      <c r="K605" s="436"/>
      <c r="L605" s="436"/>
      <c r="M605" s="441"/>
      <c r="N605" s="57"/>
      <c r="O605" s="57"/>
      <c r="P605" s="60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</row>
    <row r="606" spans="1:27" ht="16.5">
      <c r="A606" s="57"/>
      <c r="B606" s="61">
        <v>601</v>
      </c>
      <c r="C606" s="146"/>
      <c r="D606" s="435"/>
      <c r="E606" s="436"/>
      <c r="F606" s="437"/>
      <c r="G606" s="438"/>
      <c r="H606" s="439"/>
      <c r="I606" s="440"/>
      <c r="J606" s="435"/>
      <c r="K606" s="436"/>
      <c r="L606" s="436"/>
      <c r="M606" s="441"/>
      <c r="N606" s="57"/>
      <c r="O606" s="57"/>
      <c r="P606" s="60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</row>
    <row r="607" spans="1:27" ht="16.5">
      <c r="A607" s="57"/>
      <c r="B607" s="61">
        <v>602</v>
      </c>
      <c r="C607" s="146"/>
      <c r="D607" s="435"/>
      <c r="E607" s="436"/>
      <c r="F607" s="437"/>
      <c r="G607" s="438"/>
      <c r="H607" s="439"/>
      <c r="I607" s="440"/>
      <c r="J607" s="435"/>
      <c r="K607" s="436"/>
      <c r="L607" s="436"/>
      <c r="M607" s="441"/>
      <c r="N607" s="57"/>
      <c r="O607" s="57"/>
      <c r="P607" s="60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</row>
    <row r="608" spans="1:27" ht="16.5">
      <c r="A608" s="57"/>
      <c r="B608" s="61">
        <v>603</v>
      </c>
      <c r="C608" s="146"/>
      <c r="D608" s="435"/>
      <c r="E608" s="436"/>
      <c r="F608" s="437"/>
      <c r="G608" s="438"/>
      <c r="H608" s="439"/>
      <c r="I608" s="440"/>
      <c r="J608" s="435"/>
      <c r="K608" s="436"/>
      <c r="L608" s="436"/>
      <c r="M608" s="441"/>
      <c r="N608" s="57"/>
      <c r="O608" s="57"/>
      <c r="P608" s="60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</row>
    <row r="609" spans="1:27" ht="16.5">
      <c r="A609" s="57"/>
      <c r="B609" s="61">
        <v>604</v>
      </c>
      <c r="C609" s="146"/>
      <c r="D609" s="435"/>
      <c r="E609" s="436"/>
      <c r="F609" s="437"/>
      <c r="G609" s="438"/>
      <c r="H609" s="439"/>
      <c r="I609" s="440"/>
      <c r="J609" s="435"/>
      <c r="K609" s="436"/>
      <c r="L609" s="436"/>
      <c r="M609" s="441"/>
      <c r="N609" s="57"/>
      <c r="O609" s="57"/>
      <c r="P609" s="60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</row>
    <row r="610" spans="1:27" ht="16.5">
      <c r="A610" s="57"/>
      <c r="B610" s="61">
        <v>605</v>
      </c>
      <c r="C610" s="146"/>
      <c r="D610" s="435"/>
      <c r="E610" s="436"/>
      <c r="F610" s="437"/>
      <c r="G610" s="438"/>
      <c r="H610" s="439"/>
      <c r="I610" s="440"/>
      <c r="J610" s="435"/>
      <c r="K610" s="436"/>
      <c r="L610" s="436"/>
      <c r="M610" s="441"/>
      <c r="N610" s="57"/>
      <c r="O610" s="57"/>
      <c r="P610" s="60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</row>
    <row r="611" spans="1:27" ht="16.5">
      <c r="A611" s="57"/>
      <c r="B611" s="61">
        <v>606</v>
      </c>
      <c r="C611" s="146"/>
      <c r="D611" s="435"/>
      <c r="E611" s="436"/>
      <c r="F611" s="437"/>
      <c r="G611" s="438"/>
      <c r="H611" s="439"/>
      <c r="I611" s="440"/>
      <c r="J611" s="435"/>
      <c r="K611" s="436"/>
      <c r="L611" s="436"/>
      <c r="M611" s="441"/>
      <c r="N611" s="57"/>
      <c r="O611" s="57"/>
      <c r="P611" s="60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</row>
    <row r="612" spans="1:27" ht="16.5">
      <c r="A612" s="57"/>
      <c r="B612" s="61">
        <v>607</v>
      </c>
      <c r="C612" s="146"/>
      <c r="D612" s="435"/>
      <c r="E612" s="436"/>
      <c r="F612" s="437"/>
      <c r="G612" s="438"/>
      <c r="H612" s="439"/>
      <c r="I612" s="440"/>
      <c r="J612" s="435"/>
      <c r="K612" s="436"/>
      <c r="L612" s="436"/>
      <c r="M612" s="441"/>
      <c r="N612" s="57"/>
      <c r="O612" s="57"/>
      <c r="P612" s="60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</row>
    <row r="613" spans="1:27" ht="16.5">
      <c r="A613" s="57"/>
      <c r="B613" s="61">
        <v>608</v>
      </c>
      <c r="C613" s="146"/>
      <c r="D613" s="435"/>
      <c r="E613" s="436"/>
      <c r="F613" s="437"/>
      <c r="G613" s="438"/>
      <c r="H613" s="439"/>
      <c r="I613" s="440"/>
      <c r="J613" s="435"/>
      <c r="K613" s="436"/>
      <c r="L613" s="436"/>
      <c r="M613" s="441"/>
      <c r="N613" s="57"/>
      <c r="O613" s="57"/>
      <c r="P613" s="60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</row>
    <row r="614" spans="1:27" ht="16.5">
      <c r="A614" s="57"/>
      <c r="B614" s="61">
        <v>609</v>
      </c>
      <c r="C614" s="146"/>
      <c r="D614" s="435"/>
      <c r="E614" s="436"/>
      <c r="F614" s="437"/>
      <c r="G614" s="438"/>
      <c r="H614" s="439"/>
      <c r="I614" s="440"/>
      <c r="J614" s="435"/>
      <c r="K614" s="436"/>
      <c r="L614" s="436"/>
      <c r="M614" s="441"/>
      <c r="N614" s="57"/>
      <c r="O614" s="57"/>
      <c r="P614" s="60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</row>
    <row r="615" spans="1:27" ht="16.5">
      <c r="A615" s="57"/>
      <c r="B615" s="61">
        <v>610</v>
      </c>
      <c r="C615" s="146"/>
      <c r="D615" s="435"/>
      <c r="E615" s="436"/>
      <c r="F615" s="437"/>
      <c r="G615" s="438"/>
      <c r="H615" s="439"/>
      <c r="I615" s="440"/>
      <c r="J615" s="435"/>
      <c r="K615" s="436"/>
      <c r="L615" s="436"/>
      <c r="M615" s="441"/>
      <c r="N615" s="57"/>
      <c r="O615" s="57"/>
      <c r="P615" s="60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</row>
    <row r="616" spans="1:27" ht="16.5">
      <c r="A616" s="57"/>
      <c r="B616" s="61">
        <v>611</v>
      </c>
      <c r="C616" s="146"/>
      <c r="D616" s="435"/>
      <c r="E616" s="436"/>
      <c r="F616" s="437"/>
      <c r="G616" s="438"/>
      <c r="H616" s="439"/>
      <c r="I616" s="440"/>
      <c r="J616" s="435"/>
      <c r="K616" s="436"/>
      <c r="L616" s="436"/>
      <c r="M616" s="441"/>
      <c r="N616" s="57"/>
      <c r="O616" s="57"/>
      <c r="P616" s="60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</row>
    <row r="617" spans="1:27" ht="16.5">
      <c r="A617" s="57"/>
      <c r="B617" s="61">
        <v>612</v>
      </c>
      <c r="C617" s="146"/>
      <c r="D617" s="435"/>
      <c r="E617" s="436"/>
      <c r="F617" s="437"/>
      <c r="G617" s="438"/>
      <c r="H617" s="439"/>
      <c r="I617" s="440"/>
      <c r="J617" s="435"/>
      <c r="K617" s="436"/>
      <c r="L617" s="436"/>
      <c r="M617" s="441"/>
      <c r="N617" s="57"/>
      <c r="O617" s="57"/>
      <c r="P617" s="60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</row>
    <row r="618" spans="1:27" ht="16.5">
      <c r="A618" s="57"/>
      <c r="B618" s="61">
        <v>613</v>
      </c>
      <c r="C618" s="146"/>
      <c r="D618" s="435"/>
      <c r="E618" s="436"/>
      <c r="F618" s="437"/>
      <c r="G618" s="438"/>
      <c r="H618" s="439"/>
      <c r="I618" s="440"/>
      <c r="J618" s="435"/>
      <c r="K618" s="436"/>
      <c r="L618" s="436"/>
      <c r="M618" s="441"/>
      <c r="N618" s="57"/>
      <c r="O618" s="57"/>
      <c r="P618" s="60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</row>
    <row r="619" spans="1:27" ht="16.5">
      <c r="A619" s="57"/>
      <c r="B619" s="61">
        <v>614</v>
      </c>
      <c r="C619" s="146"/>
      <c r="D619" s="435"/>
      <c r="E619" s="436"/>
      <c r="F619" s="437"/>
      <c r="G619" s="438"/>
      <c r="H619" s="439"/>
      <c r="I619" s="440"/>
      <c r="J619" s="435"/>
      <c r="K619" s="436"/>
      <c r="L619" s="436"/>
      <c r="M619" s="441"/>
      <c r="N619" s="57"/>
      <c r="O619" s="57"/>
      <c r="P619" s="60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</row>
    <row r="620" spans="1:27" ht="16.5">
      <c r="A620" s="57"/>
      <c r="B620" s="61">
        <v>615</v>
      </c>
      <c r="C620" s="146"/>
      <c r="D620" s="435"/>
      <c r="E620" s="436"/>
      <c r="F620" s="437"/>
      <c r="G620" s="438"/>
      <c r="H620" s="439"/>
      <c r="I620" s="440"/>
      <c r="J620" s="435"/>
      <c r="K620" s="436"/>
      <c r="L620" s="436"/>
      <c r="M620" s="441"/>
      <c r="N620" s="57"/>
      <c r="O620" s="57"/>
      <c r="P620" s="60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</row>
    <row r="621" spans="1:27" ht="16.5">
      <c r="A621" s="57"/>
      <c r="B621" s="61">
        <v>616</v>
      </c>
      <c r="C621" s="146"/>
      <c r="D621" s="435"/>
      <c r="E621" s="436"/>
      <c r="F621" s="437"/>
      <c r="G621" s="438"/>
      <c r="H621" s="439"/>
      <c r="I621" s="440"/>
      <c r="J621" s="435"/>
      <c r="K621" s="436"/>
      <c r="L621" s="436"/>
      <c r="M621" s="441"/>
      <c r="N621" s="57"/>
      <c r="O621" s="57"/>
      <c r="P621" s="60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</row>
    <row r="622" spans="1:27" ht="16.5">
      <c r="A622" s="57"/>
      <c r="B622" s="61">
        <v>617</v>
      </c>
      <c r="C622" s="146"/>
      <c r="D622" s="435"/>
      <c r="E622" s="436"/>
      <c r="F622" s="437"/>
      <c r="G622" s="438"/>
      <c r="H622" s="439"/>
      <c r="I622" s="440"/>
      <c r="J622" s="435"/>
      <c r="K622" s="436"/>
      <c r="L622" s="436"/>
      <c r="M622" s="441"/>
      <c r="N622" s="57"/>
      <c r="O622" s="57"/>
      <c r="P622" s="60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</row>
    <row r="623" spans="1:27" ht="16.5">
      <c r="A623" s="57"/>
      <c r="B623" s="61">
        <v>618</v>
      </c>
      <c r="C623" s="146"/>
      <c r="D623" s="435"/>
      <c r="E623" s="436"/>
      <c r="F623" s="437"/>
      <c r="G623" s="438"/>
      <c r="H623" s="439"/>
      <c r="I623" s="440"/>
      <c r="J623" s="435"/>
      <c r="K623" s="436"/>
      <c r="L623" s="436"/>
      <c r="M623" s="441"/>
      <c r="N623" s="57"/>
      <c r="O623" s="57"/>
      <c r="P623" s="60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</row>
    <row r="624" spans="1:27" ht="16.5">
      <c r="A624" s="57"/>
      <c r="B624" s="61">
        <v>619</v>
      </c>
      <c r="C624" s="146"/>
      <c r="D624" s="435"/>
      <c r="E624" s="436"/>
      <c r="F624" s="437"/>
      <c r="G624" s="438"/>
      <c r="H624" s="439"/>
      <c r="I624" s="440"/>
      <c r="J624" s="435"/>
      <c r="K624" s="436"/>
      <c r="L624" s="436"/>
      <c r="M624" s="441"/>
      <c r="N624" s="57"/>
      <c r="O624" s="57"/>
      <c r="P624" s="60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</row>
    <row r="625" spans="1:27" ht="16.5">
      <c r="A625" s="57"/>
      <c r="B625" s="61">
        <v>620</v>
      </c>
      <c r="C625" s="146"/>
      <c r="D625" s="435"/>
      <c r="E625" s="436"/>
      <c r="F625" s="437"/>
      <c r="G625" s="438"/>
      <c r="H625" s="439"/>
      <c r="I625" s="440"/>
      <c r="J625" s="435"/>
      <c r="K625" s="436"/>
      <c r="L625" s="436"/>
      <c r="M625" s="441"/>
      <c r="N625" s="57"/>
      <c r="O625" s="57"/>
      <c r="P625" s="60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</row>
    <row r="626" spans="1:27" ht="16.5">
      <c r="A626" s="57"/>
      <c r="B626" s="61">
        <v>621</v>
      </c>
      <c r="C626" s="146"/>
      <c r="D626" s="435"/>
      <c r="E626" s="436"/>
      <c r="F626" s="437"/>
      <c r="G626" s="438"/>
      <c r="H626" s="439"/>
      <c r="I626" s="440"/>
      <c r="J626" s="435"/>
      <c r="K626" s="436"/>
      <c r="L626" s="436"/>
      <c r="M626" s="441"/>
      <c r="N626" s="57"/>
      <c r="O626" s="57"/>
      <c r="P626" s="60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</row>
    <row r="627" spans="1:27" ht="16.5">
      <c r="A627" s="57"/>
      <c r="B627" s="61">
        <v>622</v>
      </c>
      <c r="C627" s="146"/>
      <c r="D627" s="435"/>
      <c r="E627" s="436"/>
      <c r="F627" s="437"/>
      <c r="G627" s="438"/>
      <c r="H627" s="439"/>
      <c r="I627" s="440"/>
      <c r="J627" s="435"/>
      <c r="K627" s="436"/>
      <c r="L627" s="436"/>
      <c r="M627" s="441"/>
      <c r="N627" s="57"/>
      <c r="O627" s="57"/>
      <c r="P627" s="60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</row>
    <row r="628" spans="1:27" ht="16.5">
      <c r="A628" s="57"/>
      <c r="B628" s="61">
        <v>623</v>
      </c>
      <c r="C628" s="146"/>
      <c r="D628" s="435"/>
      <c r="E628" s="436"/>
      <c r="F628" s="437"/>
      <c r="G628" s="438"/>
      <c r="H628" s="439"/>
      <c r="I628" s="440"/>
      <c r="J628" s="435"/>
      <c r="K628" s="436"/>
      <c r="L628" s="436"/>
      <c r="M628" s="441"/>
      <c r="N628" s="57"/>
      <c r="O628" s="57"/>
      <c r="P628" s="60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</row>
    <row r="629" spans="1:27" ht="16.5">
      <c r="A629" s="57"/>
      <c r="B629" s="61">
        <v>624</v>
      </c>
      <c r="C629" s="146"/>
      <c r="D629" s="435"/>
      <c r="E629" s="436"/>
      <c r="F629" s="437"/>
      <c r="G629" s="438"/>
      <c r="H629" s="439"/>
      <c r="I629" s="440"/>
      <c r="J629" s="435"/>
      <c r="K629" s="436"/>
      <c r="L629" s="436"/>
      <c r="M629" s="441"/>
      <c r="N629" s="57"/>
      <c r="O629" s="57"/>
      <c r="P629" s="60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</row>
    <row r="630" spans="1:27" ht="16.5">
      <c r="A630" s="57"/>
      <c r="B630" s="61">
        <v>625</v>
      </c>
      <c r="C630" s="146"/>
      <c r="D630" s="435"/>
      <c r="E630" s="436"/>
      <c r="F630" s="437"/>
      <c r="G630" s="438"/>
      <c r="H630" s="439"/>
      <c r="I630" s="440"/>
      <c r="J630" s="435"/>
      <c r="K630" s="436"/>
      <c r="L630" s="436"/>
      <c r="M630" s="441"/>
      <c r="N630" s="57"/>
      <c r="O630" s="57"/>
      <c r="P630" s="60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</row>
    <row r="631" spans="1:27" ht="16.5">
      <c r="A631" s="57"/>
      <c r="B631" s="61">
        <v>626</v>
      </c>
      <c r="C631" s="146"/>
      <c r="D631" s="435"/>
      <c r="E631" s="436"/>
      <c r="F631" s="437"/>
      <c r="G631" s="438"/>
      <c r="H631" s="439"/>
      <c r="I631" s="440"/>
      <c r="J631" s="435"/>
      <c r="K631" s="436"/>
      <c r="L631" s="436"/>
      <c r="M631" s="441"/>
      <c r="N631" s="57"/>
      <c r="O631" s="57"/>
      <c r="P631" s="60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</row>
    <row r="632" spans="1:27" ht="16.5">
      <c r="A632" s="57"/>
      <c r="B632" s="61">
        <v>627</v>
      </c>
      <c r="C632" s="146"/>
      <c r="D632" s="435"/>
      <c r="E632" s="436"/>
      <c r="F632" s="437"/>
      <c r="G632" s="438"/>
      <c r="H632" s="439"/>
      <c r="I632" s="440"/>
      <c r="J632" s="435"/>
      <c r="K632" s="436"/>
      <c r="L632" s="436"/>
      <c r="M632" s="441"/>
      <c r="N632" s="57"/>
      <c r="O632" s="57"/>
      <c r="P632" s="60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</row>
    <row r="633" spans="1:27" ht="16.5">
      <c r="A633" s="57"/>
      <c r="B633" s="61">
        <v>628</v>
      </c>
      <c r="C633" s="146"/>
      <c r="D633" s="435"/>
      <c r="E633" s="436"/>
      <c r="F633" s="437"/>
      <c r="G633" s="438"/>
      <c r="H633" s="439"/>
      <c r="I633" s="440"/>
      <c r="J633" s="435"/>
      <c r="K633" s="436"/>
      <c r="L633" s="436"/>
      <c r="M633" s="441"/>
      <c r="N633" s="57"/>
      <c r="O633" s="57"/>
      <c r="P633" s="60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</row>
    <row r="634" spans="1:27" ht="16.5">
      <c r="A634" s="57"/>
      <c r="B634" s="61">
        <v>629</v>
      </c>
      <c r="C634" s="146"/>
      <c r="D634" s="435"/>
      <c r="E634" s="436"/>
      <c r="F634" s="437"/>
      <c r="G634" s="438"/>
      <c r="H634" s="439"/>
      <c r="I634" s="440"/>
      <c r="J634" s="435"/>
      <c r="K634" s="436"/>
      <c r="L634" s="436"/>
      <c r="M634" s="441"/>
      <c r="N634" s="57"/>
      <c r="O634" s="57"/>
      <c r="P634" s="60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</row>
    <row r="635" spans="1:27" ht="16.5">
      <c r="A635" s="57"/>
      <c r="B635" s="61">
        <v>630</v>
      </c>
      <c r="C635" s="146"/>
      <c r="D635" s="435"/>
      <c r="E635" s="436"/>
      <c r="F635" s="437"/>
      <c r="G635" s="438"/>
      <c r="H635" s="439"/>
      <c r="I635" s="440"/>
      <c r="J635" s="435"/>
      <c r="K635" s="436"/>
      <c r="L635" s="436"/>
      <c r="M635" s="441"/>
      <c r="N635" s="57"/>
      <c r="O635" s="57"/>
      <c r="P635" s="60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</row>
    <row r="636" spans="1:27" ht="16.5">
      <c r="A636" s="57"/>
      <c r="B636" s="61">
        <v>631</v>
      </c>
      <c r="C636" s="146"/>
      <c r="D636" s="435"/>
      <c r="E636" s="436"/>
      <c r="F636" s="437"/>
      <c r="G636" s="438"/>
      <c r="H636" s="439"/>
      <c r="I636" s="440"/>
      <c r="J636" s="435"/>
      <c r="K636" s="436"/>
      <c r="L636" s="436"/>
      <c r="M636" s="441"/>
      <c r="N636" s="57"/>
      <c r="O636" s="57"/>
      <c r="P636" s="60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</row>
    <row r="637" spans="1:27" ht="16.5">
      <c r="A637" s="57"/>
      <c r="B637" s="61">
        <v>632</v>
      </c>
      <c r="C637" s="146"/>
      <c r="D637" s="435"/>
      <c r="E637" s="436"/>
      <c r="F637" s="437"/>
      <c r="G637" s="438"/>
      <c r="H637" s="439"/>
      <c r="I637" s="440"/>
      <c r="J637" s="435"/>
      <c r="K637" s="436"/>
      <c r="L637" s="436"/>
      <c r="M637" s="441"/>
      <c r="N637" s="57"/>
      <c r="O637" s="57"/>
      <c r="P637" s="60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</row>
    <row r="638" spans="1:27" ht="16.5">
      <c r="A638" s="57"/>
      <c r="B638" s="61">
        <v>633</v>
      </c>
      <c r="C638" s="146"/>
      <c r="D638" s="435"/>
      <c r="E638" s="436"/>
      <c r="F638" s="437"/>
      <c r="G638" s="438"/>
      <c r="H638" s="439"/>
      <c r="I638" s="440"/>
      <c r="J638" s="435"/>
      <c r="K638" s="436"/>
      <c r="L638" s="436"/>
      <c r="M638" s="441"/>
      <c r="N638" s="57"/>
      <c r="O638" s="57"/>
      <c r="P638" s="60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</row>
    <row r="639" spans="1:27" ht="16.5">
      <c r="A639" s="57"/>
      <c r="B639" s="61">
        <v>634</v>
      </c>
      <c r="C639" s="146"/>
      <c r="D639" s="435"/>
      <c r="E639" s="436"/>
      <c r="F639" s="437"/>
      <c r="G639" s="438"/>
      <c r="H639" s="439"/>
      <c r="I639" s="440"/>
      <c r="J639" s="435"/>
      <c r="K639" s="436"/>
      <c r="L639" s="436"/>
      <c r="M639" s="441"/>
      <c r="N639" s="57"/>
      <c r="O639" s="57"/>
      <c r="P639" s="60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</row>
    <row r="640" spans="1:27" ht="16.5">
      <c r="A640" s="57"/>
      <c r="B640" s="61">
        <v>635</v>
      </c>
      <c r="C640" s="146"/>
      <c r="D640" s="435"/>
      <c r="E640" s="436"/>
      <c r="F640" s="437"/>
      <c r="G640" s="438"/>
      <c r="H640" s="439"/>
      <c r="I640" s="440"/>
      <c r="J640" s="435"/>
      <c r="K640" s="436"/>
      <c r="L640" s="436"/>
      <c r="M640" s="441"/>
      <c r="N640" s="57"/>
      <c r="O640" s="57"/>
      <c r="P640" s="60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</row>
    <row r="641" spans="1:27" ht="16.5">
      <c r="A641" s="57"/>
      <c r="B641" s="61">
        <v>636</v>
      </c>
      <c r="C641" s="146"/>
      <c r="D641" s="435"/>
      <c r="E641" s="436"/>
      <c r="F641" s="437"/>
      <c r="G641" s="438"/>
      <c r="H641" s="439"/>
      <c r="I641" s="440"/>
      <c r="J641" s="435"/>
      <c r="K641" s="436"/>
      <c r="L641" s="436"/>
      <c r="M641" s="441"/>
      <c r="N641" s="57"/>
      <c r="O641" s="57"/>
      <c r="P641" s="60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</row>
    <row r="642" spans="1:27" ht="16.5">
      <c r="A642" s="57"/>
      <c r="B642" s="61">
        <v>637</v>
      </c>
      <c r="C642" s="146"/>
      <c r="D642" s="435"/>
      <c r="E642" s="436"/>
      <c r="F642" s="437"/>
      <c r="G642" s="438"/>
      <c r="H642" s="439"/>
      <c r="I642" s="440"/>
      <c r="J642" s="435"/>
      <c r="K642" s="436"/>
      <c r="L642" s="436"/>
      <c r="M642" s="441"/>
      <c r="N642" s="57"/>
      <c r="O642" s="57"/>
      <c r="P642" s="60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</row>
    <row r="643" spans="1:27" ht="16.5">
      <c r="A643" s="57"/>
      <c r="B643" s="61">
        <v>638</v>
      </c>
      <c r="C643" s="146"/>
      <c r="D643" s="435"/>
      <c r="E643" s="436"/>
      <c r="F643" s="437"/>
      <c r="G643" s="438"/>
      <c r="H643" s="439"/>
      <c r="I643" s="440"/>
      <c r="J643" s="435"/>
      <c r="K643" s="436"/>
      <c r="L643" s="436"/>
      <c r="M643" s="441"/>
      <c r="N643" s="57"/>
      <c r="O643" s="57"/>
      <c r="P643" s="60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</row>
    <row r="644" spans="1:27" ht="16.5">
      <c r="A644" s="57"/>
      <c r="B644" s="61">
        <v>639</v>
      </c>
      <c r="C644" s="146"/>
      <c r="D644" s="435"/>
      <c r="E644" s="436"/>
      <c r="F644" s="437"/>
      <c r="G644" s="438"/>
      <c r="H644" s="439"/>
      <c r="I644" s="440"/>
      <c r="J644" s="435"/>
      <c r="K644" s="436"/>
      <c r="L644" s="436"/>
      <c r="M644" s="441"/>
      <c r="N644" s="57"/>
      <c r="O644" s="57"/>
      <c r="P644" s="60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</row>
    <row r="645" spans="1:27" ht="16.5">
      <c r="A645" s="57"/>
      <c r="B645" s="61">
        <v>640</v>
      </c>
      <c r="C645" s="146"/>
      <c r="D645" s="435"/>
      <c r="E645" s="436"/>
      <c r="F645" s="437"/>
      <c r="G645" s="438"/>
      <c r="H645" s="439"/>
      <c r="I645" s="440"/>
      <c r="J645" s="435"/>
      <c r="K645" s="436"/>
      <c r="L645" s="436"/>
      <c r="M645" s="441"/>
      <c r="N645" s="57"/>
      <c r="O645" s="57"/>
      <c r="P645" s="60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</row>
    <row r="646" spans="1:27" ht="16.5">
      <c r="A646" s="57"/>
      <c r="B646" s="61">
        <v>641</v>
      </c>
      <c r="C646" s="146"/>
      <c r="D646" s="435"/>
      <c r="E646" s="436"/>
      <c r="F646" s="437"/>
      <c r="G646" s="438"/>
      <c r="H646" s="439"/>
      <c r="I646" s="440"/>
      <c r="J646" s="435"/>
      <c r="K646" s="436"/>
      <c r="L646" s="436"/>
      <c r="M646" s="441"/>
      <c r="N646" s="57"/>
      <c r="O646" s="57"/>
      <c r="P646" s="60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</row>
    <row r="647" spans="1:27" ht="16.5">
      <c r="A647" s="57"/>
      <c r="B647" s="61">
        <v>642</v>
      </c>
      <c r="C647" s="146"/>
      <c r="D647" s="435"/>
      <c r="E647" s="436"/>
      <c r="F647" s="437"/>
      <c r="G647" s="438"/>
      <c r="H647" s="439"/>
      <c r="I647" s="440"/>
      <c r="J647" s="435"/>
      <c r="K647" s="436"/>
      <c r="L647" s="436"/>
      <c r="M647" s="441"/>
      <c r="N647" s="57"/>
      <c r="O647" s="57"/>
      <c r="P647" s="60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</row>
    <row r="648" spans="1:27" ht="16.5">
      <c r="A648" s="57"/>
      <c r="B648" s="61">
        <v>643</v>
      </c>
      <c r="C648" s="146"/>
      <c r="D648" s="435"/>
      <c r="E648" s="436"/>
      <c r="F648" s="437"/>
      <c r="G648" s="438"/>
      <c r="H648" s="439"/>
      <c r="I648" s="440"/>
      <c r="J648" s="435"/>
      <c r="K648" s="436"/>
      <c r="L648" s="436"/>
      <c r="M648" s="441"/>
      <c r="N648" s="57"/>
      <c r="O648" s="57"/>
      <c r="P648" s="60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</row>
    <row r="649" spans="1:27" ht="16.5">
      <c r="A649" s="57"/>
      <c r="B649" s="61">
        <v>644</v>
      </c>
      <c r="C649" s="146"/>
      <c r="D649" s="435"/>
      <c r="E649" s="436"/>
      <c r="F649" s="437"/>
      <c r="G649" s="438"/>
      <c r="H649" s="439"/>
      <c r="I649" s="440"/>
      <c r="J649" s="435"/>
      <c r="K649" s="436"/>
      <c r="L649" s="436"/>
      <c r="M649" s="441"/>
      <c r="N649" s="57"/>
      <c r="O649" s="57"/>
      <c r="P649" s="60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</row>
    <row r="650" spans="1:27" ht="16.5">
      <c r="A650" s="57"/>
      <c r="B650" s="61">
        <v>645</v>
      </c>
      <c r="C650" s="146"/>
      <c r="D650" s="435"/>
      <c r="E650" s="436"/>
      <c r="F650" s="437"/>
      <c r="G650" s="438"/>
      <c r="H650" s="439"/>
      <c r="I650" s="440"/>
      <c r="J650" s="435"/>
      <c r="K650" s="436"/>
      <c r="L650" s="436"/>
      <c r="M650" s="441"/>
      <c r="N650" s="57"/>
      <c r="O650" s="57"/>
      <c r="P650" s="60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</row>
    <row r="651" spans="1:27" ht="16.5">
      <c r="A651" s="57"/>
      <c r="B651" s="61">
        <v>646</v>
      </c>
      <c r="C651" s="146"/>
      <c r="D651" s="435"/>
      <c r="E651" s="436"/>
      <c r="F651" s="437"/>
      <c r="G651" s="438"/>
      <c r="H651" s="439"/>
      <c r="I651" s="440"/>
      <c r="J651" s="435"/>
      <c r="K651" s="436"/>
      <c r="L651" s="436"/>
      <c r="M651" s="441"/>
      <c r="N651" s="57"/>
      <c r="O651" s="57"/>
      <c r="P651" s="60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</row>
    <row r="652" spans="1:27" ht="16.5">
      <c r="A652" s="57"/>
      <c r="B652" s="61">
        <v>647</v>
      </c>
      <c r="C652" s="146"/>
      <c r="D652" s="435"/>
      <c r="E652" s="436"/>
      <c r="F652" s="437"/>
      <c r="G652" s="438"/>
      <c r="H652" s="439"/>
      <c r="I652" s="440"/>
      <c r="J652" s="435"/>
      <c r="K652" s="436"/>
      <c r="L652" s="436"/>
      <c r="M652" s="441"/>
      <c r="N652" s="57"/>
      <c r="O652" s="57"/>
      <c r="P652" s="60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</row>
    <row r="653" spans="1:27" ht="16.5">
      <c r="A653" s="57"/>
      <c r="B653" s="61">
        <v>648</v>
      </c>
      <c r="C653" s="146"/>
      <c r="D653" s="435"/>
      <c r="E653" s="436"/>
      <c r="F653" s="437"/>
      <c r="G653" s="438"/>
      <c r="H653" s="439"/>
      <c r="I653" s="440"/>
      <c r="J653" s="435"/>
      <c r="K653" s="436"/>
      <c r="L653" s="436"/>
      <c r="M653" s="441"/>
      <c r="N653" s="57"/>
      <c r="O653" s="57"/>
      <c r="P653" s="60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</row>
    <row r="654" spans="1:27" ht="16.5">
      <c r="A654" s="57"/>
      <c r="B654" s="61">
        <v>649</v>
      </c>
      <c r="C654" s="146"/>
      <c r="D654" s="435"/>
      <c r="E654" s="436"/>
      <c r="F654" s="437"/>
      <c r="G654" s="438"/>
      <c r="H654" s="439"/>
      <c r="I654" s="440"/>
      <c r="J654" s="435"/>
      <c r="K654" s="436"/>
      <c r="L654" s="436"/>
      <c r="M654" s="441"/>
      <c r="N654" s="57"/>
      <c r="O654" s="57"/>
      <c r="P654" s="60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</row>
    <row r="655" spans="1:27" ht="16.5">
      <c r="A655" s="57"/>
      <c r="B655" s="61">
        <v>650</v>
      </c>
      <c r="C655" s="146"/>
      <c r="D655" s="435"/>
      <c r="E655" s="436"/>
      <c r="F655" s="437"/>
      <c r="G655" s="438"/>
      <c r="H655" s="439"/>
      <c r="I655" s="440"/>
      <c r="J655" s="435"/>
      <c r="K655" s="436"/>
      <c r="L655" s="436"/>
      <c r="M655" s="441"/>
      <c r="N655" s="57"/>
      <c r="O655" s="57"/>
      <c r="P655" s="60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</row>
    <row r="656" spans="1:27" ht="16.5">
      <c r="A656" s="57"/>
      <c r="B656" s="61">
        <v>651</v>
      </c>
      <c r="C656" s="146"/>
      <c r="D656" s="435"/>
      <c r="E656" s="436"/>
      <c r="F656" s="437"/>
      <c r="G656" s="438"/>
      <c r="H656" s="439"/>
      <c r="I656" s="440"/>
      <c r="J656" s="435"/>
      <c r="K656" s="436"/>
      <c r="L656" s="436"/>
      <c r="M656" s="441"/>
      <c r="N656" s="57"/>
      <c r="O656" s="57"/>
      <c r="P656" s="60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</row>
    <row r="657" spans="1:27" ht="16.5">
      <c r="A657" s="57"/>
      <c r="B657" s="61">
        <v>652</v>
      </c>
      <c r="C657" s="146"/>
      <c r="D657" s="435"/>
      <c r="E657" s="436"/>
      <c r="F657" s="437"/>
      <c r="G657" s="438"/>
      <c r="H657" s="439"/>
      <c r="I657" s="440"/>
      <c r="J657" s="435"/>
      <c r="K657" s="436"/>
      <c r="L657" s="436"/>
      <c r="M657" s="441"/>
      <c r="N657" s="57"/>
      <c r="O657" s="57"/>
      <c r="P657" s="60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</row>
    <row r="658" spans="1:27" ht="16.5">
      <c r="A658" s="57"/>
      <c r="B658" s="61">
        <v>653</v>
      </c>
      <c r="C658" s="146"/>
      <c r="D658" s="435"/>
      <c r="E658" s="436"/>
      <c r="F658" s="437"/>
      <c r="G658" s="438"/>
      <c r="H658" s="439"/>
      <c r="I658" s="440"/>
      <c r="J658" s="435"/>
      <c r="K658" s="436"/>
      <c r="L658" s="436"/>
      <c r="M658" s="441"/>
      <c r="N658" s="57"/>
      <c r="O658" s="57"/>
      <c r="P658" s="60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</row>
    <row r="659" spans="1:27" ht="16.5">
      <c r="A659" s="57"/>
      <c r="B659" s="61">
        <v>654</v>
      </c>
      <c r="C659" s="146"/>
      <c r="D659" s="435"/>
      <c r="E659" s="436"/>
      <c r="F659" s="437"/>
      <c r="G659" s="438"/>
      <c r="H659" s="439"/>
      <c r="I659" s="440"/>
      <c r="J659" s="435"/>
      <c r="K659" s="436"/>
      <c r="L659" s="436"/>
      <c r="M659" s="441"/>
      <c r="N659" s="57"/>
      <c r="O659" s="57"/>
      <c r="P659" s="60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</row>
    <row r="660" spans="1:27" ht="16.5">
      <c r="A660" s="57"/>
      <c r="B660" s="61">
        <v>655</v>
      </c>
      <c r="C660" s="146"/>
      <c r="D660" s="435"/>
      <c r="E660" s="436"/>
      <c r="F660" s="437"/>
      <c r="G660" s="438"/>
      <c r="H660" s="439"/>
      <c r="I660" s="440"/>
      <c r="J660" s="435"/>
      <c r="K660" s="436"/>
      <c r="L660" s="436"/>
      <c r="M660" s="441"/>
      <c r="N660" s="57"/>
      <c r="O660" s="57"/>
      <c r="P660" s="60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</row>
    <row r="661" spans="1:27" ht="16.5">
      <c r="A661" s="57"/>
      <c r="B661" s="61">
        <v>656</v>
      </c>
      <c r="C661" s="146"/>
      <c r="D661" s="435"/>
      <c r="E661" s="436"/>
      <c r="F661" s="437"/>
      <c r="G661" s="438"/>
      <c r="H661" s="439"/>
      <c r="I661" s="440"/>
      <c r="J661" s="435"/>
      <c r="K661" s="436"/>
      <c r="L661" s="436"/>
      <c r="M661" s="441"/>
      <c r="N661" s="57"/>
      <c r="O661" s="57"/>
      <c r="P661" s="60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</row>
    <row r="662" spans="1:27" ht="16.5">
      <c r="A662" s="57"/>
      <c r="B662" s="61">
        <v>657</v>
      </c>
      <c r="C662" s="146"/>
      <c r="D662" s="435"/>
      <c r="E662" s="436"/>
      <c r="F662" s="437"/>
      <c r="G662" s="438"/>
      <c r="H662" s="439"/>
      <c r="I662" s="440"/>
      <c r="J662" s="435"/>
      <c r="K662" s="436"/>
      <c r="L662" s="436"/>
      <c r="M662" s="441"/>
      <c r="N662" s="57"/>
      <c r="O662" s="57"/>
      <c r="P662" s="60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</row>
    <row r="663" spans="1:27" ht="16.5">
      <c r="A663" s="57"/>
      <c r="B663" s="61">
        <v>658</v>
      </c>
      <c r="C663" s="146"/>
      <c r="D663" s="435"/>
      <c r="E663" s="436"/>
      <c r="F663" s="437"/>
      <c r="G663" s="438"/>
      <c r="H663" s="439"/>
      <c r="I663" s="440"/>
      <c r="J663" s="435"/>
      <c r="K663" s="436"/>
      <c r="L663" s="436"/>
      <c r="M663" s="441"/>
      <c r="N663" s="57"/>
      <c r="O663" s="57"/>
      <c r="P663" s="60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</row>
    <row r="664" spans="1:27" ht="16.5">
      <c r="A664" s="57"/>
      <c r="B664" s="61">
        <v>659</v>
      </c>
      <c r="C664" s="146"/>
      <c r="D664" s="435"/>
      <c r="E664" s="436"/>
      <c r="F664" s="437"/>
      <c r="G664" s="438"/>
      <c r="H664" s="439"/>
      <c r="I664" s="440"/>
      <c r="J664" s="435"/>
      <c r="K664" s="436"/>
      <c r="L664" s="436"/>
      <c r="M664" s="441"/>
      <c r="N664" s="57"/>
      <c r="O664" s="57"/>
      <c r="P664" s="60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</row>
    <row r="665" spans="1:27" ht="16.5">
      <c r="A665" s="57"/>
      <c r="B665" s="61">
        <v>660</v>
      </c>
      <c r="C665" s="146"/>
      <c r="D665" s="435"/>
      <c r="E665" s="436"/>
      <c r="F665" s="437"/>
      <c r="G665" s="438"/>
      <c r="H665" s="439"/>
      <c r="I665" s="440"/>
      <c r="J665" s="435"/>
      <c r="K665" s="436"/>
      <c r="L665" s="436"/>
      <c r="M665" s="441"/>
      <c r="N665" s="57"/>
      <c r="O665" s="57"/>
      <c r="P665" s="60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</row>
    <row r="666" spans="1:27" ht="16.5">
      <c r="A666" s="57"/>
      <c r="B666" s="61">
        <v>661</v>
      </c>
      <c r="C666" s="146"/>
      <c r="D666" s="435"/>
      <c r="E666" s="436"/>
      <c r="F666" s="437"/>
      <c r="G666" s="438"/>
      <c r="H666" s="439"/>
      <c r="I666" s="440"/>
      <c r="J666" s="435"/>
      <c r="K666" s="436"/>
      <c r="L666" s="436"/>
      <c r="M666" s="441"/>
      <c r="N666" s="57"/>
      <c r="O666" s="57"/>
      <c r="P666" s="60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</row>
    <row r="667" spans="1:27" ht="16.5">
      <c r="A667" s="57"/>
      <c r="B667" s="61">
        <v>662</v>
      </c>
      <c r="C667" s="146"/>
      <c r="D667" s="435"/>
      <c r="E667" s="436"/>
      <c r="F667" s="437"/>
      <c r="G667" s="438"/>
      <c r="H667" s="439"/>
      <c r="I667" s="440"/>
      <c r="J667" s="435"/>
      <c r="K667" s="436"/>
      <c r="L667" s="436"/>
      <c r="M667" s="441"/>
      <c r="N667" s="57"/>
      <c r="O667" s="57"/>
      <c r="P667" s="60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</row>
    <row r="668" spans="1:27" ht="16.5">
      <c r="A668" s="57"/>
      <c r="B668" s="61">
        <v>663</v>
      </c>
      <c r="C668" s="146"/>
      <c r="D668" s="435"/>
      <c r="E668" s="436"/>
      <c r="F668" s="437"/>
      <c r="G668" s="438"/>
      <c r="H668" s="439"/>
      <c r="I668" s="440"/>
      <c r="J668" s="435"/>
      <c r="K668" s="436"/>
      <c r="L668" s="436"/>
      <c r="M668" s="441"/>
      <c r="N668" s="57"/>
      <c r="O668" s="57"/>
      <c r="P668" s="60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</row>
    <row r="669" spans="1:27" ht="16.5">
      <c r="A669" s="57"/>
      <c r="B669" s="61">
        <v>664</v>
      </c>
      <c r="C669" s="146"/>
      <c r="D669" s="435"/>
      <c r="E669" s="436"/>
      <c r="F669" s="437"/>
      <c r="G669" s="438"/>
      <c r="H669" s="439"/>
      <c r="I669" s="440"/>
      <c r="J669" s="435"/>
      <c r="K669" s="436"/>
      <c r="L669" s="436"/>
      <c r="M669" s="441"/>
      <c r="N669" s="57"/>
      <c r="O669" s="57"/>
      <c r="P669" s="60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</row>
    <row r="670" spans="1:27" ht="16.5">
      <c r="A670" s="57"/>
      <c r="B670" s="61">
        <v>665</v>
      </c>
      <c r="C670" s="146"/>
      <c r="D670" s="435"/>
      <c r="E670" s="436"/>
      <c r="F670" s="437"/>
      <c r="G670" s="438"/>
      <c r="H670" s="439"/>
      <c r="I670" s="440"/>
      <c r="J670" s="435"/>
      <c r="K670" s="436"/>
      <c r="L670" s="436"/>
      <c r="M670" s="441"/>
      <c r="N670" s="57"/>
      <c r="O670" s="57"/>
      <c r="P670" s="60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</row>
    <row r="671" spans="1:27" ht="16.5">
      <c r="A671" s="57"/>
      <c r="B671" s="61">
        <v>666</v>
      </c>
      <c r="C671" s="146"/>
      <c r="D671" s="435"/>
      <c r="E671" s="436"/>
      <c r="F671" s="437"/>
      <c r="G671" s="438"/>
      <c r="H671" s="439"/>
      <c r="I671" s="440"/>
      <c r="J671" s="435"/>
      <c r="K671" s="436"/>
      <c r="L671" s="436"/>
      <c r="M671" s="441"/>
      <c r="N671" s="57"/>
      <c r="O671" s="57"/>
      <c r="P671" s="60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</row>
    <row r="672" spans="1:27" ht="16.5">
      <c r="A672" s="57"/>
      <c r="B672" s="61">
        <v>667</v>
      </c>
      <c r="C672" s="146"/>
      <c r="D672" s="435"/>
      <c r="E672" s="436"/>
      <c r="F672" s="437"/>
      <c r="G672" s="438"/>
      <c r="H672" s="439"/>
      <c r="I672" s="440"/>
      <c r="J672" s="435"/>
      <c r="K672" s="436"/>
      <c r="L672" s="436"/>
      <c r="M672" s="441"/>
      <c r="N672" s="57"/>
      <c r="O672" s="57"/>
      <c r="P672" s="60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</row>
    <row r="673" spans="1:27" ht="16.5">
      <c r="A673" s="57"/>
      <c r="B673" s="61">
        <v>668</v>
      </c>
      <c r="C673" s="146"/>
      <c r="D673" s="435"/>
      <c r="E673" s="436"/>
      <c r="F673" s="437"/>
      <c r="G673" s="438"/>
      <c r="H673" s="439"/>
      <c r="I673" s="440"/>
      <c r="J673" s="435"/>
      <c r="K673" s="436"/>
      <c r="L673" s="436"/>
      <c r="M673" s="441"/>
      <c r="N673" s="57"/>
      <c r="O673" s="57"/>
      <c r="P673" s="60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</row>
    <row r="674" spans="1:27" ht="16.5">
      <c r="A674" s="57"/>
      <c r="B674" s="61">
        <v>669</v>
      </c>
      <c r="C674" s="146"/>
      <c r="D674" s="435"/>
      <c r="E674" s="436"/>
      <c r="F674" s="437"/>
      <c r="G674" s="438"/>
      <c r="H674" s="439"/>
      <c r="I674" s="440"/>
      <c r="J674" s="435"/>
      <c r="K674" s="436"/>
      <c r="L674" s="436"/>
      <c r="M674" s="441"/>
      <c r="N674" s="57"/>
      <c r="O674" s="57"/>
      <c r="P674" s="60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</row>
    <row r="675" spans="1:27" ht="16.5">
      <c r="A675" s="57"/>
      <c r="B675" s="61">
        <v>670</v>
      </c>
      <c r="C675" s="146"/>
      <c r="D675" s="435"/>
      <c r="E675" s="436"/>
      <c r="F675" s="437"/>
      <c r="G675" s="438"/>
      <c r="H675" s="439"/>
      <c r="I675" s="440"/>
      <c r="J675" s="435"/>
      <c r="K675" s="436"/>
      <c r="L675" s="436"/>
      <c r="M675" s="441"/>
      <c r="N675" s="57"/>
      <c r="O675" s="57"/>
      <c r="P675" s="60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</row>
    <row r="676" spans="1:27" ht="16.5">
      <c r="A676" s="57"/>
      <c r="B676" s="61">
        <v>671</v>
      </c>
      <c r="C676" s="146"/>
      <c r="D676" s="435"/>
      <c r="E676" s="436"/>
      <c r="F676" s="437"/>
      <c r="G676" s="438"/>
      <c r="H676" s="439"/>
      <c r="I676" s="440"/>
      <c r="J676" s="435"/>
      <c r="K676" s="436"/>
      <c r="L676" s="436"/>
      <c r="M676" s="441"/>
      <c r="N676" s="57"/>
      <c r="O676" s="57"/>
      <c r="P676" s="60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</row>
    <row r="677" spans="1:27" ht="16.5">
      <c r="A677" s="57"/>
      <c r="B677" s="61">
        <v>672</v>
      </c>
      <c r="C677" s="146"/>
      <c r="D677" s="435"/>
      <c r="E677" s="436"/>
      <c r="F677" s="437"/>
      <c r="G677" s="438"/>
      <c r="H677" s="439"/>
      <c r="I677" s="440"/>
      <c r="J677" s="435"/>
      <c r="K677" s="436"/>
      <c r="L677" s="436"/>
      <c r="M677" s="441"/>
      <c r="N677" s="57"/>
      <c r="O677" s="57"/>
      <c r="P677" s="60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</row>
    <row r="678" spans="1:27" ht="16.5">
      <c r="A678" s="57"/>
      <c r="B678" s="61">
        <v>673</v>
      </c>
      <c r="C678" s="146"/>
      <c r="D678" s="435"/>
      <c r="E678" s="436"/>
      <c r="F678" s="437"/>
      <c r="G678" s="438"/>
      <c r="H678" s="439"/>
      <c r="I678" s="440"/>
      <c r="J678" s="435"/>
      <c r="K678" s="436"/>
      <c r="L678" s="436"/>
      <c r="M678" s="441"/>
      <c r="N678" s="57"/>
      <c r="O678" s="57"/>
      <c r="P678" s="60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</row>
    <row r="679" spans="1:27" ht="16.5">
      <c r="A679" s="57"/>
      <c r="B679" s="61">
        <v>674</v>
      </c>
      <c r="C679" s="146"/>
      <c r="D679" s="435"/>
      <c r="E679" s="436"/>
      <c r="F679" s="437"/>
      <c r="G679" s="438"/>
      <c r="H679" s="439"/>
      <c r="I679" s="440"/>
      <c r="J679" s="435"/>
      <c r="K679" s="436"/>
      <c r="L679" s="436"/>
      <c r="M679" s="441"/>
      <c r="N679" s="57"/>
      <c r="O679" s="57"/>
      <c r="P679" s="60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</row>
    <row r="680" spans="1:27" ht="16.5">
      <c r="A680" s="57"/>
      <c r="B680" s="61">
        <v>675</v>
      </c>
      <c r="C680" s="146"/>
      <c r="D680" s="435"/>
      <c r="E680" s="436"/>
      <c r="F680" s="437"/>
      <c r="G680" s="438"/>
      <c r="H680" s="439"/>
      <c r="I680" s="440"/>
      <c r="J680" s="435"/>
      <c r="K680" s="436"/>
      <c r="L680" s="436"/>
      <c r="M680" s="441"/>
      <c r="N680" s="57"/>
      <c r="O680" s="57"/>
      <c r="P680" s="60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</row>
    <row r="681" spans="1:27" ht="16.5">
      <c r="A681" s="57"/>
      <c r="B681" s="61">
        <v>676</v>
      </c>
      <c r="C681" s="146"/>
      <c r="D681" s="435"/>
      <c r="E681" s="436"/>
      <c r="F681" s="437"/>
      <c r="G681" s="438"/>
      <c r="H681" s="439"/>
      <c r="I681" s="440"/>
      <c r="J681" s="435"/>
      <c r="K681" s="436"/>
      <c r="L681" s="436"/>
      <c r="M681" s="441"/>
      <c r="N681" s="57"/>
      <c r="O681" s="57"/>
      <c r="P681" s="60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</row>
    <row r="682" spans="1:27" ht="16.5">
      <c r="A682" s="57"/>
      <c r="B682" s="61">
        <v>677</v>
      </c>
      <c r="C682" s="146"/>
      <c r="D682" s="435"/>
      <c r="E682" s="436"/>
      <c r="F682" s="437"/>
      <c r="G682" s="438"/>
      <c r="H682" s="439"/>
      <c r="I682" s="440"/>
      <c r="J682" s="435"/>
      <c r="K682" s="436"/>
      <c r="L682" s="436"/>
      <c r="M682" s="441"/>
      <c r="N682" s="57"/>
      <c r="O682" s="57"/>
      <c r="P682" s="60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</row>
    <row r="683" spans="1:27" ht="16.5">
      <c r="A683" s="57"/>
      <c r="B683" s="61">
        <v>678</v>
      </c>
      <c r="C683" s="146"/>
      <c r="D683" s="435"/>
      <c r="E683" s="436"/>
      <c r="F683" s="437"/>
      <c r="G683" s="438"/>
      <c r="H683" s="439"/>
      <c r="I683" s="440"/>
      <c r="J683" s="435"/>
      <c r="K683" s="436"/>
      <c r="L683" s="436"/>
      <c r="M683" s="441"/>
      <c r="N683" s="57"/>
      <c r="O683" s="57"/>
      <c r="P683" s="60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</row>
    <row r="684" spans="1:27" ht="16.5">
      <c r="A684" s="57"/>
      <c r="B684" s="61">
        <v>679</v>
      </c>
      <c r="C684" s="146"/>
      <c r="D684" s="435"/>
      <c r="E684" s="436"/>
      <c r="F684" s="437"/>
      <c r="G684" s="438"/>
      <c r="H684" s="439"/>
      <c r="I684" s="440"/>
      <c r="J684" s="435"/>
      <c r="K684" s="436"/>
      <c r="L684" s="436"/>
      <c r="M684" s="441"/>
      <c r="N684" s="57"/>
      <c r="O684" s="57"/>
      <c r="P684" s="60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</row>
    <row r="685" spans="1:27" ht="16.5">
      <c r="A685" s="57"/>
      <c r="B685" s="61">
        <v>680</v>
      </c>
      <c r="C685" s="146"/>
      <c r="D685" s="435"/>
      <c r="E685" s="436"/>
      <c r="F685" s="437"/>
      <c r="G685" s="438"/>
      <c r="H685" s="439"/>
      <c r="I685" s="440"/>
      <c r="J685" s="435"/>
      <c r="K685" s="436"/>
      <c r="L685" s="436"/>
      <c r="M685" s="441"/>
      <c r="N685" s="57"/>
      <c r="O685" s="57"/>
      <c r="P685" s="60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</row>
    <row r="686" spans="1:27" ht="16.5">
      <c r="A686" s="57"/>
      <c r="B686" s="61">
        <v>681</v>
      </c>
      <c r="C686" s="146"/>
      <c r="D686" s="435"/>
      <c r="E686" s="436"/>
      <c r="F686" s="437"/>
      <c r="G686" s="438"/>
      <c r="H686" s="439"/>
      <c r="I686" s="440"/>
      <c r="J686" s="435"/>
      <c r="K686" s="436"/>
      <c r="L686" s="436"/>
      <c r="M686" s="441"/>
      <c r="N686" s="57"/>
      <c r="O686" s="57"/>
      <c r="P686" s="60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</row>
    <row r="687" spans="1:27" ht="16.5">
      <c r="A687" s="57"/>
      <c r="B687" s="61">
        <v>682</v>
      </c>
      <c r="C687" s="146"/>
      <c r="D687" s="435"/>
      <c r="E687" s="436"/>
      <c r="F687" s="437"/>
      <c r="G687" s="438"/>
      <c r="H687" s="439"/>
      <c r="I687" s="440"/>
      <c r="J687" s="435"/>
      <c r="K687" s="436"/>
      <c r="L687" s="436"/>
      <c r="M687" s="441"/>
      <c r="N687" s="57"/>
      <c r="O687" s="57"/>
      <c r="P687" s="60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</row>
    <row r="688" spans="1:27" ht="16.5">
      <c r="A688" s="57"/>
      <c r="B688" s="61">
        <v>683</v>
      </c>
      <c r="C688" s="146"/>
      <c r="D688" s="435"/>
      <c r="E688" s="436"/>
      <c r="F688" s="437"/>
      <c r="G688" s="438"/>
      <c r="H688" s="439"/>
      <c r="I688" s="440"/>
      <c r="J688" s="435"/>
      <c r="K688" s="436"/>
      <c r="L688" s="436"/>
      <c r="M688" s="441"/>
      <c r="N688" s="57"/>
      <c r="O688" s="57"/>
      <c r="P688" s="60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</row>
    <row r="689" spans="1:27" ht="16.5">
      <c r="A689" s="57"/>
      <c r="B689" s="61">
        <v>684</v>
      </c>
      <c r="C689" s="146"/>
      <c r="D689" s="435"/>
      <c r="E689" s="436"/>
      <c r="F689" s="437"/>
      <c r="G689" s="438"/>
      <c r="H689" s="439"/>
      <c r="I689" s="440"/>
      <c r="J689" s="435"/>
      <c r="K689" s="436"/>
      <c r="L689" s="436"/>
      <c r="M689" s="441"/>
      <c r="N689" s="57"/>
      <c r="O689" s="57"/>
      <c r="P689" s="60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</row>
    <row r="690" spans="1:27" ht="16.5">
      <c r="A690" s="57"/>
      <c r="B690" s="61">
        <v>685</v>
      </c>
      <c r="C690" s="146"/>
      <c r="D690" s="435"/>
      <c r="E690" s="436"/>
      <c r="F690" s="437"/>
      <c r="G690" s="438"/>
      <c r="H690" s="439"/>
      <c r="I690" s="440"/>
      <c r="J690" s="435"/>
      <c r="K690" s="436"/>
      <c r="L690" s="436"/>
      <c r="M690" s="441"/>
      <c r="N690" s="57"/>
      <c r="O690" s="57"/>
      <c r="P690" s="60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</row>
    <row r="691" spans="1:27" ht="16.5">
      <c r="A691" s="57"/>
      <c r="B691" s="61">
        <v>686</v>
      </c>
      <c r="C691" s="146"/>
      <c r="D691" s="435"/>
      <c r="E691" s="436"/>
      <c r="F691" s="437"/>
      <c r="G691" s="438"/>
      <c r="H691" s="439"/>
      <c r="I691" s="440"/>
      <c r="J691" s="435"/>
      <c r="K691" s="436"/>
      <c r="L691" s="436"/>
      <c r="M691" s="441"/>
      <c r="N691" s="57"/>
      <c r="O691" s="57"/>
      <c r="P691" s="60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</row>
    <row r="692" spans="1:27" ht="16.5">
      <c r="A692" s="57"/>
      <c r="B692" s="61">
        <v>687</v>
      </c>
      <c r="C692" s="146"/>
      <c r="D692" s="435"/>
      <c r="E692" s="436"/>
      <c r="F692" s="437"/>
      <c r="G692" s="438"/>
      <c r="H692" s="439"/>
      <c r="I692" s="440"/>
      <c r="J692" s="435"/>
      <c r="K692" s="436"/>
      <c r="L692" s="436"/>
      <c r="M692" s="441"/>
      <c r="N692" s="57"/>
      <c r="O692" s="57"/>
      <c r="P692" s="60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</row>
    <row r="693" spans="1:27" ht="16.5">
      <c r="A693" s="57"/>
      <c r="B693" s="61">
        <v>688</v>
      </c>
      <c r="C693" s="146"/>
      <c r="D693" s="435"/>
      <c r="E693" s="436"/>
      <c r="F693" s="437"/>
      <c r="G693" s="438"/>
      <c r="H693" s="439"/>
      <c r="I693" s="440"/>
      <c r="J693" s="435"/>
      <c r="K693" s="436"/>
      <c r="L693" s="436"/>
      <c r="M693" s="441"/>
      <c r="N693" s="57"/>
      <c r="O693" s="57"/>
      <c r="P693" s="60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</row>
    <row r="694" spans="1:27" ht="16.5">
      <c r="A694" s="57"/>
      <c r="B694" s="61">
        <v>689</v>
      </c>
      <c r="C694" s="146"/>
      <c r="D694" s="435"/>
      <c r="E694" s="436"/>
      <c r="F694" s="437"/>
      <c r="G694" s="438"/>
      <c r="H694" s="439"/>
      <c r="I694" s="440"/>
      <c r="J694" s="435"/>
      <c r="K694" s="436"/>
      <c r="L694" s="436"/>
      <c r="M694" s="441"/>
      <c r="N694" s="57"/>
      <c r="O694" s="57"/>
      <c r="P694" s="60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</row>
    <row r="695" spans="1:27" ht="16.5">
      <c r="A695" s="57"/>
      <c r="B695" s="61">
        <v>690</v>
      </c>
      <c r="C695" s="146"/>
      <c r="D695" s="435"/>
      <c r="E695" s="436"/>
      <c r="F695" s="437"/>
      <c r="G695" s="438"/>
      <c r="H695" s="439"/>
      <c r="I695" s="440"/>
      <c r="J695" s="435"/>
      <c r="K695" s="436"/>
      <c r="L695" s="436"/>
      <c r="M695" s="441"/>
      <c r="N695" s="57"/>
      <c r="O695" s="57"/>
      <c r="P695" s="60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</row>
    <row r="696" spans="1:27" ht="16.5">
      <c r="A696" s="57"/>
      <c r="B696" s="61">
        <v>691</v>
      </c>
      <c r="C696" s="146"/>
      <c r="D696" s="435"/>
      <c r="E696" s="436"/>
      <c r="F696" s="437"/>
      <c r="G696" s="438"/>
      <c r="H696" s="439"/>
      <c r="I696" s="440"/>
      <c r="J696" s="435"/>
      <c r="K696" s="436"/>
      <c r="L696" s="436"/>
      <c r="M696" s="441"/>
      <c r="N696" s="57"/>
      <c r="O696" s="57"/>
      <c r="P696" s="60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</row>
    <row r="697" spans="1:27" ht="16.5">
      <c r="A697" s="57"/>
      <c r="B697" s="61">
        <v>692</v>
      </c>
      <c r="C697" s="146"/>
      <c r="D697" s="435"/>
      <c r="E697" s="436"/>
      <c r="F697" s="437"/>
      <c r="G697" s="438"/>
      <c r="H697" s="439"/>
      <c r="I697" s="440"/>
      <c r="J697" s="435"/>
      <c r="K697" s="436"/>
      <c r="L697" s="436"/>
      <c r="M697" s="441"/>
      <c r="N697" s="57"/>
      <c r="O697" s="57"/>
      <c r="P697" s="60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</row>
    <row r="698" spans="1:27" ht="16.5">
      <c r="A698" s="57"/>
      <c r="B698" s="61">
        <v>693</v>
      </c>
      <c r="C698" s="146"/>
      <c r="D698" s="435"/>
      <c r="E698" s="436"/>
      <c r="F698" s="437"/>
      <c r="G698" s="438"/>
      <c r="H698" s="439"/>
      <c r="I698" s="440"/>
      <c r="J698" s="435"/>
      <c r="K698" s="436"/>
      <c r="L698" s="436"/>
      <c r="M698" s="441"/>
      <c r="N698" s="57"/>
      <c r="O698" s="57"/>
      <c r="P698" s="60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</row>
    <row r="699" spans="1:27" ht="16.5">
      <c r="A699" s="57"/>
      <c r="B699" s="61">
        <v>694</v>
      </c>
      <c r="C699" s="146"/>
      <c r="D699" s="435"/>
      <c r="E699" s="436"/>
      <c r="F699" s="437"/>
      <c r="G699" s="438"/>
      <c r="H699" s="439"/>
      <c r="I699" s="440"/>
      <c r="J699" s="435"/>
      <c r="K699" s="436"/>
      <c r="L699" s="436"/>
      <c r="M699" s="441"/>
      <c r="N699" s="57"/>
      <c r="O699" s="57"/>
      <c r="P699" s="60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</row>
    <row r="700" spans="1:27" ht="16.5">
      <c r="A700" s="57"/>
      <c r="B700" s="61">
        <v>695</v>
      </c>
      <c r="C700" s="146"/>
      <c r="D700" s="435"/>
      <c r="E700" s="436"/>
      <c r="F700" s="437"/>
      <c r="G700" s="438"/>
      <c r="H700" s="439"/>
      <c r="I700" s="440"/>
      <c r="J700" s="435"/>
      <c r="K700" s="436"/>
      <c r="L700" s="436"/>
      <c r="M700" s="441"/>
      <c r="N700" s="57"/>
      <c r="O700" s="57"/>
      <c r="P700" s="60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</row>
    <row r="701" spans="1:27" ht="16.5">
      <c r="A701" s="57"/>
      <c r="B701" s="61">
        <v>696</v>
      </c>
      <c r="C701" s="146"/>
      <c r="D701" s="435"/>
      <c r="E701" s="436"/>
      <c r="F701" s="437"/>
      <c r="G701" s="438"/>
      <c r="H701" s="439"/>
      <c r="I701" s="440"/>
      <c r="J701" s="435"/>
      <c r="K701" s="436"/>
      <c r="L701" s="436"/>
      <c r="M701" s="441"/>
      <c r="N701" s="57"/>
      <c r="O701" s="57"/>
      <c r="P701" s="60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</row>
    <row r="702" spans="1:27" ht="16.5">
      <c r="A702" s="57"/>
      <c r="B702" s="61">
        <v>697</v>
      </c>
      <c r="C702" s="146"/>
      <c r="D702" s="435"/>
      <c r="E702" s="436"/>
      <c r="F702" s="437"/>
      <c r="G702" s="438"/>
      <c r="H702" s="439"/>
      <c r="I702" s="440"/>
      <c r="J702" s="435"/>
      <c r="K702" s="436"/>
      <c r="L702" s="436"/>
      <c r="M702" s="441"/>
      <c r="N702" s="57"/>
      <c r="O702" s="57"/>
      <c r="P702" s="60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</row>
    <row r="703" spans="1:27" ht="16.5">
      <c r="A703" s="57"/>
      <c r="B703" s="61">
        <v>698</v>
      </c>
      <c r="C703" s="146"/>
      <c r="D703" s="435"/>
      <c r="E703" s="436"/>
      <c r="F703" s="437"/>
      <c r="G703" s="438"/>
      <c r="H703" s="439"/>
      <c r="I703" s="440"/>
      <c r="J703" s="435"/>
      <c r="K703" s="436"/>
      <c r="L703" s="436"/>
      <c r="M703" s="441"/>
      <c r="N703" s="57"/>
      <c r="O703" s="57"/>
      <c r="P703" s="60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</row>
    <row r="704" spans="1:27" ht="16.5">
      <c r="A704" s="57"/>
      <c r="B704" s="61">
        <v>699</v>
      </c>
      <c r="C704" s="146"/>
      <c r="D704" s="435"/>
      <c r="E704" s="436"/>
      <c r="F704" s="437"/>
      <c r="G704" s="438"/>
      <c r="H704" s="439"/>
      <c r="I704" s="440"/>
      <c r="J704" s="435"/>
      <c r="K704" s="436"/>
      <c r="L704" s="436"/>
      <c r="M704" s="441"/>
      <c r="N704" s="57"/>
      <c r="O704" s="57"/>
      <c r="P704" s="60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</row>
    <row r="705" spans="1:27" ht="16.5">
      <c r="A705" s="57"/>
      <c r="B705" s="61">
        <v>700</v>
      </c>
      <c r="C705" s="146"/>
      <c r="D705" s="435"/>
      <c r="E705" s="436"/>
      <c r="F705" s="437"/>
      <c r="G705" s="438"/>
      <c r="H705" s="439"/>
      <c r="I705" s="440"/>
      <c r="J705" s="435"/>
      <c r="K705" s="436"/>
      <c r="L705" s="436"/>
      <c r="M705" s="441"/>
      <c r="N705" s="57"/>
      <c r="O705" s="57"/>
      <c r="P705" s="60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</row>
    <row r="706" spans="1:27" ht="16.5">
      <c r="A706" s="57"/>
      <c r="B706" s="61">
        <v>701</v>
      </c>
      <c r="C706" s="146"/>
      <c r="D706" s="435"/>
      <c r="E706" s="436"/>
      <c r="F706" s="437"/>
      <c r="G706" s="438"/>
      <c r="H706" s="439"/>
      <c r="I706" s="440"/>
      <c r="J706" s="435"/>
      <c r="K706" s="436"/>
      <c r="L706" s="436"/>
      <c r="M706" s="441"/>
      <c r="N706" s="57"/>
      <c r="O706" s="57"/>
      <c r="P706" s="60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</row>
    <row r="707" spans="1:27" ht="16.5">
      <c r="A707" s="57"/>
      <c r="B707" s="61">
        <v>702</v>
      </c>
      <c r="C707" s="146"/>
      <c r="D707" s="435"/>
      <c r="E707" s="436"/>
      <c r="F707" s="437"/>
      <c r="G707" s="438"/>
      <c r="H707" s="439"/>
      <c r="I707" s="440"/>
      <c r="J707" s="435"/>
      <c r="K707" s="436"/>
      <c r="L707" s="436"/>
      <c r="M707" s="441"/>
      <c r="N707" s="57"/>
      <c r="O707" s="57"/>
      <c r="P707" s="60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</row>
    <row r="708" spans="1:27" ht="16.5">
      <c r="A708" s="57"/>
      <c r="B708" s="61">
        <v>703</v>
      </c>
      <c r="C708" s="146"/>
      <c r="D708" s="435"/>
      <c r="E708" s="436"/>
      <c r="F708" s="437"/>
      <c r="G708" s="438"/>
      <c r="H708" s="439"/>
      <c r="I708" s="440"/>
      <c r="J708" s="435"/>
      <c r="K708" s="436"/>
      <c r="L708" s="436"/>
      <c r="M708" s="441"/>
      <c r="N708" s="57"/>
      <c r="O708" s="57"/>
      <c r="P708" s="60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</row>
    <row r="709" spans="1:27" ht="16.5">
      <c r="A709" s="57"/>
      <c r="B709" s="61">
        <v>704</v>
      </c>
      <c r="C709" s="146"/>
      <c r="D709" s="435"/>
      <c r="E709" s="436"/>
      <c r="F709" s="437"/>
      <c r="G709" s="438"/>
      <c r="H709" s="439"/>
      <c r="I709" s="440"/>
      <c r="J709" s="435"/>
      <c r="K709" s="436"/>
      <c r="L709" s="436"/>
      <c r="M709" s="441"/>
      <c r="N709" s="57"/>
      <c r="O709" s="57"/>
      <c r="P709" s="60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</row>
    <row r="710" spans="1:27" ht="16.5">
      <c r="A710" s="57"/>
      <c r="B710" s="61">
        <v>705</v>
      </c>
      <c r="C710" s="146"/>
      <c r="D710" s="435"/>
      <c r="E710" s="436"/>
      <c r="F710" s="437"/>
      <c r="G710" s="438"/>
      <c r="H710" s="439"/>
      <c r="I710" s="440"/>
      <c r="J710" s="435"/>
      <c r="K710" s="436"/>
      <c r="L710" s="436"/>
      <c r="M710" s="441"/>
      <c r="N710" s="57"/>
      <c r="O710" s="57"/>
      <c r="P710" s="60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</row>
    <row r="711" spans="1:27" ht="16.5">
      <c r="A711" s="57"/>
      <c r="B711" s="61">
        <v>706</v>
      </c>
      <c r="C711" s="146"/>
      <c r="D711" s="435"/>
      <c r="E711" s="436"/>
      <c r="F711" s="437"/>
      <c r="G711" s="438"/>
      <c r="H711" s="439"/>
      <c r="I711" s="440"/>
      <c r="J711" s="435"/>
      <c r="K711" s="436"/>
      <c r="L711" s="436"/>
      <c r="M711" s="441"/>
      <c r="N711" s="57"/>
      <c r="O711" s="57"/>
      <c r="P711" s="60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</row>
    <row r="712" spans="1:27" ht="16.5">
      <c r="A712" s="57"/>
      <c r="B712" s="61">
        <v>707</v>
      </c>
      <c r="C712" s="146"/>
      <c r="D712" s="435"/>
      <c r="E712" s="436"/>
      <c r="F712" s="437"/>
      <c r="G712" s="438"/>
      <c r="H712" s="439"/>
      <c r="I712" s="440"/>
      <c r="J712" s="435"/>
      <c r="K712" s="436"/>
      <c r="L712" s="436"/>
      <c r="M712" s="441"/>
      <c r="N712" s="57"/>
      <c r="O712" s="57"/>
      <c r="P712" s="60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</row>
    <row r="713" spans="1:27" ht="16.5">
      <c r="A713" s="57"/>
      <c r="B713" s="61">
        <v>708</v>
      </c>
      <c r="C713" s="146"/>
      <c r="D713" s="435"/>
      <c r="E713" s="436"/>
      <c r="F713" s="437"/>
      <c r="G713" s="438"/>
      <c r="H713" s="439"/>
      <c r="I713" s="440"/>
      <c r="J713" s="435"/>
      <c r="K713" s="436"/>
      <c r="L713" s="436"/>
      <c r="M713" s="441"/>
      <c r="N713" s="57"/>
      <c r="O713" s="57"/>
      <c r="P713" s="60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</row>
    <row r="714" spans="1:27" ht="16.5">
      <c r="A714" s="57"/>
      <c r="B714" s="61">
        <v>709</v>
      </c>
      <c r="C714" s="146"/>
      <c r="D714" s="435"/>
      <c r="E714" s="436"/>
      <c r="F714" s="437"/>
      <c r="G714" s="438"/>
      <c r="H714" s="439"/>
      <c r="I714" s="440"/>
      <c r="J714" s="435"/>
      <c r="K714" s="436"/>
      <c r="L714" s="436"/>
      <c r="M714" s="441"/>
      <c r="N714" s="57"/>
      <c r="O714" s="57"/>
      <c r="P714" s="60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</row>
    <row r="715" spans="1:27" ht="16.5">
      <c r="A715" s="57"/>
      <c r="B715" s="61">
        <v>710</v>
      </c>
      <c r="C715" s="146"/>
      <c r="D715" s="435"/>
      <c r="E715" s="436"/>
      <c r="F715" s="437"/>
      <c r="G715" s="438"/>
      <c r="H715" s="439"/>
      <c r="I715" s="440"/>
      <c r="J715" s="435"/>
      <c r="K715" s="436"/>
      <c r="L715" s="436"/>
      <c r="M715" s="441"/>
      <c r="N715" s="57"/>
      <c r="O715" s="57"/>
      <c r="P715" s="60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</row>
    <row r="716" spans="1:27" ht="16.5">
      <c r="A716" s="57"/>
      <c r="B716" s="61">
        <v>711</v>
      </c>
      <c r="C716" s="146"/>
      <c r="D716" s="435"/>
      <c r="E716" s="436"/>
      <c r="F716" s="437"/>
      <c r="G716" s="438"/>
      <c r="H716" s="439"/>
      <c r="I716" s="440"/>
      <c r="J716" s="435"/>
      <c r="K716" s="436"/>
      <c r="L716" s="436"/>
      <c r="M716" s="441"/>
      <c r="N716" s="57"/>
      <c r="O716" s="57"/>
      <c r="P716" s="60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</row>
    <row r="717" spans="1:27" ht="16.5">
      <c r="A717" s="57"/>
      <c r="B717" s="61">
        <v>712</v>
      </c>
      <c r="C717" s="146"/>
      <c r="D717" s="435"/>
      <c r="E717" s="436"/>
      <c r="F717" s="437"/>
      <c r="G717" s="438"/>
      <c r="H717" s="439"/>
      <c r="I717" s="440"/>
      <c r="J717" s="435"/>
      <c r="K717" s="436"/>
      <c r="L717" s="436"/>
      <c r="M717" s="441"/>
      <c r="N717" s="57"/>
      <c r="O717" s="57"/>
      <c r="P717" s="60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</row>
    <row r="718" spans="1:27" ht="16.5">
      <c r="A718" s="57"/>
      <c r="B718" s="61">
        <v>713</v>
      </c>
      <c r="C718" s="146"/>
      <c r="D718" s="435"/>
      <c r="E718" s="436"/>
      <c r="F718" s="437"/>
      <c r="G718" s="438"/>
      <c r="H718" s="439"/>
      <c r="I718" s="440"/>
      <c r="J718" s="435"/>
      <c r="K718" s="436"/>
      <c r="L718" s="436"/>
      <c r="M718" s="441"/>
      <c r="N718" s="57"/>
      <c r="O718" s="57"/>
      <c r="P718" s="60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</row>
    <row r="719" spans="1:27" ht="16.5">
      <c r="A719" s="57"/>
      <c r="B719" s="61">
        <v>714</v>
      </c>
      <c r="C719" s="146"/>
      <c r="D719" s="435"/>
      <c r="E719" s="436"/>
      <c r="F719" s="437"/>
      <c r="G719" s="438"/>
      <c r="H719" s="439"/>
      <c r="I719" s="440"/>
      <c r="J719" s="435"/>
      <c r="K719" s="436"/>
      <c r="L719" s="436"/>
      <c r="M719" s="441"/>
      <c r="N719" s="57"/>
      <c r="O719" s="57"/>
      <c r="P719" s="60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</row>
    <row r="720" spans="1:27" ht="16.5">
      <c r="A720" s="57"/>
      <c r="B720" s="61">
        <v>715</v>
      </c>
      <c r="C720" s="146"/>
      <c r="D720" s="435"/>
      <c r="E720" s="436"/>
      <c r="F720" s="437"/>
      <c r="G720" s="438"/>
      <c r="H720" s="439"/>
      <c r="I720" s="440"/>
      <c r="J720" s="435"/>
      <c r="K720" s="436"/>
      <c r="L720" s="436"/>
      <c r="M720" s="441"/>
      <c r="N720" s="57"/>
      <c r="O720" s="57"/>
      <c r="P720" s="60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</row>
    <row r="721" spans="1:27" ht="16.5">
      <c r="A721" s="57"/>
      <c r="B721" s="61">
        <v>716</v>
      </c>
      <c r="C721" s="146"/>
      <c r="D721" s="435"/>
      <c r="E721" s="436"/>
      <c r="F721" s="437"/>
      <c r="G721" s="438"/>
      <c r="H721" s="439"/>
      <c r="I721" s="440"/>
      <c r="J721" s="435"/>
      <c r="K721" s="436"/>
      <c r="L721" s="436"/>
      <c r="M721" s="441"/>
      <c r="N721" s="57"/>
      <c r="O721" s="57"/>
      <c r="P721" s="60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</row>
    <row r="722" spans="1:27" ht="16.5">
      <c r="A722" s="57"/>
      <c r="B722" s="61">
        <v>717</v>
      </c>
      <c r="C722" s="146"/>
      <c r="D722" s="435"/>
      <c r="E722" s="436"/>
      <c r="F722" s="437"/>
      <c r="G722" s="438"/>
      <c r="H722" s="439"/>
      <c r="I722" s="440"/>
      <c r="J722" s="435"/>
      <c r="K722" s="436"/>
      <c r="L722" s="436"/>
      <c r="M722" s="441"/>
      <c r="N722" s="57"/>
      <c r="O722" s="57"/>
      <c r="P722" s="60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</row>
    <row r="723" spans="1:27" ht="16.5">
      <c r="A723" s="57"/>
      <c r="B723" s="61">
        <v>718</v>
      </c>
      <c r="C723" s="146"/>
      <c r="D723" s="435"/>
      <c r="E723" s="436"/>
      <c r="F723" s="437"/>
      <c r="G723" s="438"/>
      <c r="H723" s="439"/>
      <c r="I723" s="440"/>
      <c r="J723" s="435"/>
      <c r="K723" s="436"/>
      <c r="L723" s="436"/>
      <c r="M723" s="441"/>
      <c r="N723" s="57"/>
      <c r="O723" s="57"/>
      <c r="P723" s="60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</row>
    <row r="724" spans="1:27" ht="16.5">
      <c r="A724" s="57"/>
      <c r="B724" s="61">
        <v>719</v>
      </c>
      <c r="C724" s="146"/>
      <c r="D724" s="435"/>
      <c r="E724" s="436"/>
      <c r="F724" s="437"/>
      <c r="G724" s="438"/>
      <c r="H724" s="439"/>
      <c r="I724" s="440"/>
      <c r="J724" s="435"/>
      <c r="K724" s="436"/>
      <c r="L724" s="436"/>
      <c r="M724" s="441"/>
      <c r="N724" s="57"/>
      <c r="O724" s="57"/>
      <c r="P724" s="60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</row>
    <row r="725" spans="1:27" ht="16.5">
      <c r="A725" s="57"/>
      <c r="B725" s="61">
        <v>720</v>
      </c>
      <c r="C725" s="146"/>
      <c r="D725" s="435"/>
      <c r="E725" s="436"/>
      <c r="F725" s="437"/>
      <c r="G725" s="438"/>
      <c r="H725" s="439"/>
      <c r="I725" s="440"/>
      <c r="J725" s="435"/>
      <c r="K725" s="436"/>
      <c r="L725" s="436"/>
      <c r="M725" s="441"/>
      <c r="N725" s="57"/>
      <c r="O725" s="57"/>
      <c r="P725" s="60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</row>
    <row r="726" spans="1:27" ht="16.5">
      <c r="A726" s="57"/>
      <c r="B726" s="61">
        <v>721</v>
      </c>
      <c r="C726" s="146"/>
      <c r="D726" s="435"/>
      <c r="E726" s="436"/>
      <c r="F726" s="437"/>
      <c r="G726" s="438"/>
      <c r="H726" s="439"/>
      <c r="I726" s="440"/>
      <c r="J726" s="435"/>
      <c r="K726" s="436"/>
      <c r="L726" s="436"/>
      <c r="M726" s="441"/>
      <c r="N726" s="57"/>
      <c r="O726" s="57"/>
      <c r="P726" s="60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</row>
    <row r="727" spans="1:27" ht="16.5">
      <c r="A727" s="57"/>
      <c r="B727" s="61">
        <v>722</v>
      </c>
      <c r="C727" s="146"/>
      <c r="D727" s="435"/>
      <c r="E727" s="436"/>
      <c r="F727" s="437"/>
      <c r="G727" s="438"/>
      <c r="H727" s="439"/>
      <c r="I727" s="440"/>
      <c r="J727" s="435"/>
      <c r="K727" s="436"/>
      <c r="L727" s="436"/>
      <c r="M727" s="441"/>
      <c r="N727" s="57"/>
      <c r="O727" s="57"/>
      <c r="P727" s="60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</row>
    <row r="728" spans="1:27" ht="16.5">
      <c r="A728" s="57"/>
      <c r="B728" s="61">
        <v>723</v>
      </c>
      <c r="C728" s="146"/>
      <c r="D728" s="435"/>
      <c r="E728" s="436"/>
      <c r="F728" s="437"/>
      <c r="G728" s="438"/>
      <c r="H728" s="439"/>
      <c r="I728" s="440"/>
      <c r="J728" s="435"/>
      <c r="K728" s="436"/>
      <c r="L728" s="436"/>
      <c r="M728" s="441"/>
      <c r="N728" s="57"/>
      <c r="O728" s="57"/>
      <c r="P728" s="60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</row>
    <row r="729" spans="1:27" ht="16.5">
      <c r="A729" s="57"/>
      <c r="B729" s="61">
        <v>724</v>
      </c>
      <c r="C729" s="146"/>
      <c r="D729" s="435"/>
      <c r="E729" s="436"/>
      <c r="F729" s="437"/>
      <c r="G729" s="438"/>
      <c r="H729" s="439"/>
      <c r="I729" s="440"/>
      <c r="J729" s="435"/>
      <c r="K729" s="436"/>
      <c r="L729" s="436"/>
      <c r="M729" s="441"/>
      <c r="N729" s="57"/>
      <c r="O729" s="57"/>
      <c r="P729" s="60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</row>
    <row r="730" spans="1:27" ht="16.5">
      <c r="A730" s="57"/>
      <c r="B730" s="61">
        <v>725</v>
      </c>
      <c r="C730" s="146"/>
      <c r="D730" s="435"/>
      <c r="E730" s="436"/>
      <c r="F730" s="437"/>
      <c r="G730" s="438"/>
      <c r="H730" s="439"/>
      <c r="I730" s="440"/>
      <c r="J730" s="435"/>
      <c r="K730" s="436"/>
      <c r="L730" s="436"/>
      <c r="M730" s="441"/>
      <c r="N730" s="57"/>
      <c r="O730" s="57"/>
      <c r="P730" s="60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</row>
    <row r="731" spans="1:27" ht="16.5">
      <c r="A731" s="57"/>
      <c r="B731" s="61">
        <v>726</v>
      </c>
      <c r="C731" s="146"/>
      <c r="D731" s="435"/>
      <c r="E731" s="436"/>
      <c r="F731" s="437"/>
      <c r="G731" s="438"/>
      <c r="H731" s="439"/>
      <c r="I731" s="440"/>
      <c r="J731" s="435"/>
      <c r="K731" s="436"/>
      <c r="L731" s="436"/>
      <c r="M731" s="441"/>
      <c r="N731" s="57"/>
      <c r="O731" s="57"/>
      <c r="P731" s="60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</row>
    <row r="732" spans="1:27" ht="16.5">
      <c r="A732" s="57"/>
      <c r="B732" s="61">
        <v>727</v>
      </c>
      <c r="C732" s="146"/>
      <c r="D732" s="435"/>
      <c r="E732" s="436"/>
      <c r="F732" s="437"/>
      <c r="G732" s="438"/>
      <c r="H732" s="439"/>
      <c r="I732" s="440"/>
      <c r="J732" s="435"/>
      <c r="K732" s="436"/>
      <c r="L732" s="436"/>
      <c r="M732" s="441"/>
      <c r="N732" s="57"/>
      <c r="O732" s="57"/>
      <c r="P732" s="60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</row>
    <row r="733" spans="1:27" ht="16.5">
      <c r="A733" s="57"/>
      <c r="B733" s="61">
        <v>728</v>
      </c>
      <c r="C733" s="146"/>
      <c r="D733" s="435"/>
      <c r="E733" s="436"/>
      <c r="F733" s="437"/>
      <c r="G733" s="438"/>
      <c r="H733" s="439"/>
      <c r="I733" s="440"/>
      <c r="J733" s="435"/>
      <c r="K733" s="436"/>
      <c r="L733" s="436"/>
      <c r="M733" s="441"/>
      <c r="N733" s="57"/>
      <c r="O733" s="57"/>
      <c r="P733" s="60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</row>
    <row r="734" spans="1:27" ht="16.5">
      <c r="A734" s="57"/>
      <c r="B734" s="61">
        <v>729</v>
      </c>
      <c r="C734" s="146"/>
      <c r="D734" s="435"/>
      <c r="E734" s="436"/>
      <c r="F734" s="437"/>
      <c r="G734" s="438"/>
      <c r="H734" s="439"/>
      <c r="I734" s="440"/>
      <c r="J734" s="435"/>
      <c r="K734" s="436"/>
      <c r="L734" s="436"/>
      <c r="M734" s="441"/>
      <c r="N734" s="57"/>
      <c r="O734" s="57"/>
      <c r="P734" s="60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</row>
    <row r="735" spans="1:27" ht="16.5">
      <c r="A735" s="57"/>
      <c r="B735" s="61">
        <v>730</v>
      </c>
      <c r="C735" s="146"/>
      <c r="D735" s="435"/>
      <c r="E735" s="436"/>
      <c r="F735" s="437"/>
      <c r="G735" s="438"/>
      <c r="H735" s="439"/>
      <c r="I735" s="440"/>
      <c r="J735" s="435"/>
      <c r="K735" s="436"/>
      <c r="L735" s="436"/>
      <c r="M735" s="441"/>
      <c r="N735" s="57"/>
      <c r="O735" s="57"/>
      <c r="P735" s="60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</row>
    <row r="736" spans="1:27" ht="16.5">
      <c r="A736" s="57"/>
      <c r="B736" s="61">
        <v>731</v>
      </c>
      <c r="C736" s="146"/>
      <c r="D736" s="435"/>
      <c r="E736" s="436"/>
      <c r="F736" s="437"/>
      <c r="G736" s="438"/>
      <c r="H736" s="439"/>
      <c r="I736" s="440"/>
      <c r="J736" s="435"/>
      <c r="K736" s="436"/>
      <c r="L736" s="436"/>
      <c r="M736" s="441"/>
      <c r="N736" s="57"/>
      <c r="O736" s="57"/>
      <c r="P736" s="60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</row>
    <row r="737" spans="1:27" ht="16.5">
      <c r="A737" s="57"/>
      <c r="B737" s="61">
        <v>732</v>
      </c>
      <c r="C737" s="146"/>
      <c r="D737" s="435"/>
      <c r="E737" s="436"/>
      <c r="F737" s="437"/>
      <c r="G737" s="438"/>
      <c r="H737" s="439"/>
      <c r="I737" s="440"/>
      <c r="J737" s="435"/>
      <c r="K737" s="436"/>
      <c r="L737" s="436"/>
      <c r="M737" s="441"/>
      <c r="N737" s="57"/>
      <c r="O737" s="57"/>
      <c r="P737" s="60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</row>
    <row r="738" spans="1:27" ht="16.5">
      <c r="A738" s="57"/>
      <c r="B738" s="61">
        <v>733</v>
      </c>
      <c r="C738" s="146"/>
      <c r="D738" s="435"/>
      <c r="E738" s="436"/>
      <c r="F738" s="437"/>
      <c r="G738" s="438"/>
      <c r="H738" s="439"/>
      <c r="I738" s="440"/>
      <c r="J738" s="435"/>
      <c r="K738" s="436"/>
      <c r="L738" s="436"/>
      <c r="M738" s="441"/>
      <c r="N738" s="57"/>
      <c r="O738" s="57"/>
      <c r="P738" s="60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</row>
    <row r="739" spans="1:27" ht="16.5">
      <c r="A739" s="57"/>
      <c r="B739" s="61">
        <v>734</v>
      </c>
      <c r="C739" s="146"/>
      <c r="D739" s="435"/>
      <c r="E739" s="436"/>
      <c r="F739" s="437"/>
      <c r="G739" s="438"/>
      <c r="H739" s="439"/>
      <c r="I739" s="440"/>
      <c r="J739" s="435"/>
      <c r="K739" s="436"/>
      <c r="L739" s="436"/>
      <c r="M739" s="441"/>
      <c r="N739" s="57"/>
      <c r="O739" s="57"/>
      <c r="P739" s="60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</row>
    <row r="740" spans="1:27" ht="16.5">
      <c r="A740" s="57"/>
      <c r="B740" s="61">
        <v>735</v>
      </c>
      <c r="C740" s="146"/>
      <c r="D740" s="435"/>
      <c r="E740" s="436"/>
      <c r="F740" s="437"/>
      <c r="G740" s="438"/>
      <c r="H740" s="439"/>
      <c r="I740" s="440"/>
      <c r="J740" s="435"/>
      <c r="K740" s="436"/>
      <c r="L740" s="436"/>
      <c r="M740" s="441"/>
      <c r="N740" s="57"/>
      <c r="O740" s="57"/>
      <c r="P740" s="60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</row>
    <row r="741" spans="1:27" ht="16.5">
      <c r="A741" s="57"/>
      <c r="B741" s="61">
        <v>736</v>
      </c>
      <c r="C741" s="146"/>
      <c r="D741" s="435"/>
      <c r="E741" s="436"/>
      <c r="F741" s="437"/>
      <c r="G741" s="438"/>
      <c r="H741" s="439"/>
      <c r="I741" s="440"/>
      <c r="J741" s="435"/>
      <c r="K741" s="436"/>
      <c r="L741" s="436"/>
      <c r="M741" s="441"/>
      <c r="N741" s="57"/>
      <c r="O741" s="57"/>
      <c r="P741" s="60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</row>
    <row r="742" spans="1:27" ht="16.5">
      <c r="A742" s="57"/>
      <c r="B742" s="61">
        <v>737</v>
      </c>
      <c r="C742" s="146"/>
      <c r="D742" s="435"/>
      <c r="E742" s="436"/>
      <c r="F742" s="437"/>
      <c r="G742" s="438"/>
      <c r="H742" s="439"/>
      <c r="I742" s="440"/>
      <c r="J742" s="435"/>
      <c r="K742" s="436"/>
      <c r="L742" s="436"/>
      <c r="M742" s="441"/>
      <c r="N742" s="57"/>
      <c r="O742" s="57"/>
      <c r="P742" s="60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</row>
    <row r="743" spans="1:27" ht="16.5">
      <c r="A743" s="57"/>
      <c r="B743" s="61">
        <v>738</v>
      </c>
      <c r="C743" s="146"/>
      <c r="D743" s="435"/>
      <c r="E743" s="436"/>
      <c r="F743" s="437"/>
      <c r="G743" s="438"/>
      <c r="H743" s="439"/>
      <c r="I743" s="440"/>
      <c r="J743" s="435"/>
      <c r="K743" s="436"/>
      <c r="L743" s="436"/>
      <c r="M743" s="441"/>
      <c r="N743" s="57"/>
      <c r="O743" s="57"/>
      <c r="P743" s="60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</row>
    <row r="744" spans="1:27" ht="16.5">
      <c r="A744" s="57"/>
      <c r="B744" s="61">
        <v>739</v>
      </c>
      <c r="C744" s="146"/>
      <c r="D744" s="435"/>
      <c r="E744" s="436"/>
      <c r="F744" s="437"/>
      <c r="G744" s="438"/>
      <c r="H744" s="439"/>
      <c r="I744" s="440"/>
      <c r="J744" s="435"/>
      <c r="K744" s="436"/>
      <c r="L744" s="436"/>
      <c r="M744" s="441"/>
      <c r="N744" s="57"/>
      <c r="O744" s="57"/>
      <c r="P744" s="60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</row>
    <row r="745" spans="1:27" ht="16.5">
      <c r="A745" s="57"/>
      <c r="B745" s="61">
        <v>740</v>
      </c>
      <c r="C745" s="146"/>
      <c r="D745" s="435"/>
      <c r="E745" s="436"/>
      <c r="F745" s="437"/>
      <c r="G745" s="438"/>
      <c r="H745" s="439"/>
      <c r="I745" s="440"/>
      <c r="J745" s="435"/>
      <c r="K745" s="436"/>
      <c r="L745" s="436"/>
      <c r="M745" s="441"/>
      <c r="N745" s="57"/>
      <c r="O745" s="57"/>
      <c r="P745" s="60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</row>
    <row r="746" spans="1:27" ht="16.5">
      <c r="A746" s="57"/>
      <c r="B746" s="61">
        <v>741</v>
      </c>
      <c r="C746" s="146"/>
      <c r="D746" s="435"/>
      <c r="E746" s="436"/>
      <c r="F746" s="437"/>
      <c r="G746" s="438"/>
      <c r="H746" s="439"/>
      <c r="I746" s="440"/>
      <c r="J746" s="435"/>
      <c r="K746" s="436"/>
      <c r="L746" s="436"/>
      <c r="M746" s="441"/>
      <c r="N746" s="57"/>
      <c r="O746" s="57"/>
      <c r="P746" s="60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</row>
    <row r="747" spans="1:27" ht="16.5">
      <c r="A747" s="57"/>
      <c r="B747" s="61">
        <v>742</v>
      </c>
      <c r="C747" s="146"/>
      <c r="D747" s="435"/>
      <c r="E747" s="436"/>
      <c r="F747" s="437"/>
      <c r="G747" s="438"/>
      <c r="H747" s="439"/>
      <c r="I747" s="440"/>
      <c r="J747" s="435"/>
      <c r="K747" s="436"/>
      <c r="L747" s="436"/>
      <c r="M747" s="441"/>
      <c r="N747" s="57"/>
      <c r="O747" s="57"/>
      <c r="P747" s="60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</row>
    <row r="748" spans="1:27" ht="16.5">
      <c r="A748" s="57"/>
      <c r="B748" s="61">
        <v>743</v>
      </c>
      <c r="C748" s="146"/>
      <c r="D748" s="435"/>
      <c r="E748" s="436"/>
      <c r="F748" s="437"/>
      <c r="G748" s="438"/>
      <c r="H748" s="439"/>
      <c r="I748" s="440"/>
      <c r="J748" s="435"/>
      <c r="K748" s="436"/>
      <c r="L748" s="436"/>
      <c r="M748" s="441"/>
      <c r="N748" s="57"/>
      <c r="O748" s="57"/>
      <c r="P748" s="60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</row>
    <row r="749" spans="1:27" ht="16.5">
      <c r="A749" s="57"/>
      <c r="B749" s="61">
        <v>744</v>
      </c>
      <c r="C749" s="146"/>
      <c r="D749" s="435"/>
      <c r="E749" s="436"/>
      <c r="F749" s="437"/>
      <c r="G749" s="438"/>
      <c r="H749" s="439"/>
      <c r="I749" s="440"/>
      <c r="J749" s="435"/>
      <c r="K749" s="436"/>
      <c r="L749" s="436"/>
      <c r="M749" s="441"/>
      <c r="N749" s="57"/>
      <c r="O749" s="57"/>
      <c r="P749" s="60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</row>
    <row r="750" spans="1:27" ht="16.5">
      <c r="A750" s="57"/>
      <c r="B750" s="61">
        <v>745</v>
      </c>
      <c r="C750" s="146"/>
      <c r="D750" s="435"/>
      <c r="E750" s="436"/>
      <c r="F750" s="437"/>
      <c r="G750" s="438"/>
      <c r="H750" s="439"/>
      <c r="I750" s="440"/>
      <c r="J750" s="435"/>
      <c r="K750" s="436"/>
      <c r="L750" s="436"/>
      <c r="M750" s="441"/>
      <c r="N750" s="57"/>
      <c r="O750" s="57"/>
      <c r="P750" s="60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</row>
    <row r="751" spans="1:27" ht="16.5">
      <c r="A751" s="57"/>
      <c r="B751" s="61">
        <v>746</v>
      </c>
      <c r="C751" s="146"/>
      <c r="D751" s="435"/>
      <c r="E751" s="436"/>
      <c r="F751" s="437"/>
      <c r="G751" s="438"/>
      <c r="H751" s="439"/>
      <c r="I751" s="440"/>
      <c r="J751" s="435"/>
      <c r="K751" s="436"/>
      <c r="L751" s="436"/>
      <c r="M751" s="441"/>
      <c r="N751" s="57"/>
      <c r="O751" s="57"/>
      <c r="P751" s="60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</row>
    <row r="752" spans="1:27" ht="16.5">
      <c r="A752" s="57"/>
      <c r="B752" s="61">
        <v>747</v>
      </c>
      <c r="C752" s="146"/>
      <c r="D752" s="435"/>
      <c r="E752" s="436"/>
      <c r="F752" s="437"/>
      <c r="G752" s="438"/>
      <c r="H752" s="439"/>
      <c r="I752" s="440"/>
      <c r="J752" s="435"/>
      <c r="K752" s="436"/>
      <c r="L752" s="436"/>
      <c r="M752" s="441"/>
      <c r="N752" s="57"/>
      <c r="O752" s="57"/>
      <c r="P752" s="60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</row>
    <row r="753" spans="1:27" ht="16.5">
      <c r="A753" s="57"/>
      <c r="B753" s="61">
        <v>748</v>
      </c>
      <c r="C753" s="146"/>
      <c r="D753" s="435"/>
      <c r="E753" s="436"/>
      <c r="F753" s="437"/>
      <c r="G753" s="438"/>
      <c r="H753" s="439"/>
      <c r="I753" s="440"/>
      <c r="J753" s="435"/>
      <c r="K753" s="436"/>
      <c r="L753" s="436"/>
      <c r="M753" s="441"/>
      <c r="N753" s="57"/>
      <c r="O753" s="57"/>
      <c r="P753" s="60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</row>
    <row r="754" spans="1:27" ht="16.5">
      <c r="A754" s="57"/>
      <c r="B754" s="61">
        <v>749</v>
      </c>
      <c r="C754" s="146"/>
      <c r="D754" s="435"/>
      <c r="E754" s="436"/>
      <c r="F754" s="437"/>
      <c r="G754" s="438"/>
      <c r="H754" s="439"/>
      <c r="I754" s="440"/>
      <c r="J754" s="435"/>
      <c r="K754" s="436"/>
      <c r="L754" s="436"/>
      <c r="M754" s="441"/>
      <c r="N754" s="57"/>
      <c r="O754" s="57"/>
      <c r="P754" s="60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</row>
    <row r="755" spans="1:27" ht="16.5">
      <c r="A755" s="57"/>
      <c r="B755" s="61">
        <v>750</v>
      </c>
      <c r="C755" s="146"/>
      <c r="D755" s="435"/>
      <c r="E755" s="436"/>
      <c r="F755" s="437"/>
      <c r="G755" s="438"/>
      <c r="H755" s="439"/>
      <c r="I755" s="440"/>
      <c r="J755" s="435"/>
      <c r="K755" s="436"/>
      <c r="L755" s="436"/>
      <c r="M755" s="441"/>
      <c r="N755" s="57"/>
      <c r="O755" s="57"/>
      <c r="P755" s="60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</row>
    <row r="756" spans="1:27" ht="16.5">
      <c r="A756" s="57"/>
      <c r="B756" s="61">
        <v>751</v>
      </c>
      <c r="C756" s="146"/>
      <c r="D756" s="435"/>
      <c r="E756" s="436"/>
      <c r="F756" s="437"/>
      <c r="G756" s="438"/>
      <c r="H756" s="439"/>
      <c r="I756" s="440"/>
      <c r="J756" s="435"/>
      <c r="K756" s="436"/>
      <c r="L756" s="436"/>
      <c r="M756" s="441"/>
      <c r="N756" s="57"/>
      <c r="O756" s="57"/>
      <c r="P756" s="60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</row>
    <row r="757" spans="1:27" ht="16.5">
      <c r="A757" s="57"/>
      <c r="B757" s="61">
        <v>752</v>
      </c>
      <c r="C757" s="146"/>
      <c r="D757" s="435"/>
      <c r="E757" s="436"/>
      <c r="F757" s="437"/>
      <c r="G757" s="438"/>
      <c r="H757" s="439"/>
      <c r="I757" s="440"/>
      <c r="J757" s="435"/>
      <c r="K757" s="436"/>
      <c r="L757" s="436"/>
      <c r="M757" s="441"/>
      <c r="N757" s="57"/>
      <c r="O757" s="57"/>
      <c r="P757" s="60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</row>
    <row r="758" spans="1:27" ht="16.5">
      <c r="A758" s="57"/>
      <c r="B758" s="61">
        <v>753</v>
      </c>
      <c r="C758" s="146"/>
      <c r="D758" s="435"/>
      <c r="E758" s="436"/>
      <c r="F758" s="437"/>
      <c r="G758" s="438"/>
      <c r="H758" s="439"/>
      <c r="I758" s="440"/>
      <c r="J758" s="435"/>
      <c r="K758" s="436"/>
      <c r="L758" s="436"/>
      <c r="M758" s="441"/>
      <c r="N758" s="57"/>
      <c r="O758" s="57"/>
      <c r="P758" s="60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</row>
    <row r="759" spans="1:27" ht="16.5">
      <c r="A759" s="57"/>
      <c r="B759" s="61">
        <v>754</v>
      </c>
      <c r="C759" s="146"/>
      <c r="D759" s="435"/>
      <c r="E759" s="436"/>
      <c r="F759" s="437"/>
      <c r="G759" s="438"/>
      <c r="H759" s="439"/>
      <c r="I759" s="440"/>
      <c r="J759" s="435"/>
      <c r="K759" s="436"/>
      <c r="L759" s="436"/>
      <c r="M759" s="441"/>
      <c r="N759" s="57"/>
      <c r="O759" s="57"/>
      <c r="P759" s="60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</row>
    <row r="760" spans="1:27" ht="16.5">
      <c r="A760" s="57"/>
      <c r="B760" s="61">
        <v>755</v>
      </c>
      <c r="C760" s="146"/>
      <c r="D760" s="435"/>
      <c r="E760" s="436"/>
      <c r="F760" s="437"/>
      <c r="G760" s="438"/>
      <c r="H760" s="439"/>
      <c r="I760" s="440"/>
      <c r="J760" s="435"/>
      <c r="K760" s="436"/>
      <c r="L760" s="436"/>
      <c r="M760" s="441"/>
      <c r="N760" s="57"/>
      <c r="O760" s="57"/>
      <c r="P760" s="60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</row>
    <row r="761" spans="1:27" ht="16.5">
      <c r="A761" s="57"/>
      <c r="B761" s="61">
        <v>756</v>
      </c>
      <c r="C761" s="146"/>
      <c r="D761" s="435"/>
      <c r="E761" s="436"/>
      <c r="F761" s="437"/>
      <c r="G761" s="438"/>
      <c r="H761" s="439"/>
      <c r="I761" s="440"/>
      <c r="J761" s="435"/>
      <c r="K761" s="436"/>
      <c r="L761" s="436"/>
      <c r="M761" s="441"/>
      <c r="N761" s="57"/>
      <c r="O761" s="57"/>
      <c r="P761" s="60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</row>
    <row r="762" spans="1:27" ht="16.5">
      <c r="A762" s="57"/>
      <c r="B762" s="61">
        <v>757</v>
      </c>
      <c r="C762" s="146"/>
      <c r="D762" s="435"/>
      <c r="E762" s="436"/>
      <c r="F762" s="437"/>
      <c r="G762" s="438"/>
      <c r="H762" s="439"/>
      <c r="I762" s="440"/>
      <c r="J762" s="435"/>
      <c r="K762" s="436"/>
      <c r="L762" s="436"/>
      <c r="M762" s="441"/>
      <c r="N762" s="57"/>
      <c r="O762" s="57"/>
      <c r="P762" s="60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</row>
    <row r="763" spans="1:27" ht="16.5">
      <c r="A763" s="57"/>
      <c r="B763" s="61">
        <v>758</v>
      </c>
      <c r="C763" s="146"/>
      <c r="D763" s="435"/>
      <c r="E763" s="436"/>
      <c r="F763" s="437"/>
      <c r="G763" s="438"/>
      <c r="H763" s="439"/>
      <c r="I763" s="440"/>
      <c r="J763" s="435"/>
      <c r="K763" s="436"/>
      <c r="L763" s="436"/>
      <c r="M763" s="441"/>
      <c r="N763" s="57"/>
      <c r="O763" s="57"/>
      <c r="P763" s="60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</row>
    <row r="764" spans="1:27" ht="16.5">
      <c r="A764" s="57"/>
      <c r="B764" s="61">
        <v>759</v>
      </c>
      <c r="C764" s="146"/>
      <c r="D764" s="435"/>
      <c r="E764" s="436"/>
      <c r="F764" s="437"/>
      <c r="G764" s="438"/>
      <c r="H764" s="439"/>
      <c r="I764" s="440"/>
      <c r="J764" s="435"/>
      <c r="K764" s="436"/>
      <c r="L764" s="436"/>
      <c r="M764" s="441"/>
      <c r="N764" s="57"/>
      <c r="O764" s="57"/>
      <c r="P764" s="60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</row>
    <row r="765" spans="1:27" ht="16.5">
      <c r="A765" s="57"/>
      <c r="B765" s="61">
        <v>760</v>
      </c>
      <c r="C765" s="146"/>
      <c r="D765" s="435"/>
      <c r="E765" s="436"/>
      <c r="F765" s="437"/>
      <c r="G765" s="438"/>
      <c r="H765" s="439"/>
      <c r="I765" s="440"/>
      <c r="J765" s="435"/>
      <c r="K765" s="436"/>
      <c r="L765" s="436"/>
      <c r="M765" s="441"/>
      <c r="N765" s="57"/>
      <c r="O765" s="57"/>
      <c r="P765" s="60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</row>
    <row r="766" spans="1:27" ht="16.5">
      <c r="A766" s="57"/>
      <c r="B766" s="61">
        <v>761</v>
      </c>
      <c r="C766" s="146"/>
      <c r="D766" s="435"/>
      <c r="E766" s="436"/>
      <c r="F766" s="437"/>
      <c r="G766" s="438"/>
      <c r="H766" s="439"/>
      <c r="I766" s="440"/>
      <c r="J766" s="435"/>
      <c r="K766" s="436"/>
      <c r="L766" s="436"/>
      <c r="M766" s="441"/>
      <c r="N766" s="57"/>
      <c r="O766" s="57"/>
      <c r="P766" s="60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</row>
    <row r="767" spans="1:27" ht="16.5">
      <c r="A767" s="57"/>
      <c r="B767" s="61">
        <v>762</v>
      </c>
      <c r="C767" s="146"/>
      <c r="D767" s="435"/>
      <c r="E767" s="436"/>
      <c r="F767" s="437"/>
      <c r="G767" s="438"/>
      <c r="H767" s="439"/>
      <c r="I767" s="440"/>
      <c r="J767" s="435"/>
      <c r="K767" s="436"/>
      <c r="L767" s="436"/>
      <c r="M767" s="441"/>
      <c r="N767" s="57"/>
      <c r="O767" s="57"/>
      <c r="P767" s="60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</row>
    <row r="768" spans="1:27" ht="16.5">
      <c r="A768" s="57"/>
      <c r="B768" s="61">
        <v>763</v>
      </c>
      <c r="C768" s="146"/>
      <c r="D768" s="435"/>
      <c r="E768" s="436"/>
      <c r="F768" s="437"/>
      <c r="G768" s="438"/>
      <c r="H768" s="439"/>
      <c r="I768" s="440"/>
      <c r="J768" s="435"/>
      <c r="K768" s="436"/>
      <c r="L768" s="436"/>
      <c r="M768" s="441"/>
      <c r="N768" s="57"/>
      <c r="O768" s="57"/>
      <c r="P768" s="60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</row>
    <row r="769" spans="1:27" ht="16.5">
      <c r="A769" s="57"/>
      <c r="B769" s="61">
        <v>764</v>
      </c>
      <c r="C769" s="146"/>
      <c r="D769" s="435"/>
      <c r="E769" s="436"/>
      <c r="F769" s="437"/>
      <c r="G769" s="438"/>
      <c r="H769" s="439"/>
      <c r="I769" s="440"/>
      <c r="J769" s="435"/>
      <c r="K769" s="436"/>
      <c r="L769" s="436"/>
      <c r="M769" s="441"/>
      <c r="N769" s="57"/>
      <c r="O769" s="57"/>
      <c r="P769" s="60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</row>
    <row r="770" spans="1:27" ht="16.5">
      <c r="A770" s="57"/>
      <c r="B770" s="61">
        <v>765</v>
      </c>
      <c r="C770" s="146"/>
      <c r="D770" s="435"/>
      <c r="E770" s="436"/>
      <c r="F770" s="437"/>
      <c r="G770" s="438"/>
      <c r="H770" s="439"/>
      <c r="I770" s="440"/>
      <c r="J770" s="435"/>
      <c r="K770" s="436"/>
      <c r="L770" s="436"/>
      <c r="M770" s="441"/>
      <c r="N770" s="57"/>
      <c r="O770" s="57"/>
      <c r="P770" s="60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</row>
    <row r="771" spans="1:27" ht="16.5">
      <c r="A771" s="57"/>
      <c r="B771" s="61">
        <v>766</v>
      </c>
      <c r="C771" s="146"/>
      <c r="D771" s="435"/>
      <c r="E771" s="436"/>
      <c r="F771" s="437"/>
      <c r="G771" s="438"/>
      <c r="H771" s="439"/>
      <c r="I771" s="440"/>
      <c r="J771" s="435"/>
      <c r="K771" s="436"/>
      <c r="L771" s="436"/>
      <c r="M771" s="441"/>
      <c r="N771" s="57"/>
      <c r="O771" s="57"/>
      <c r="P771" s="60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</row>
    <row r="772" spans="1:27" ht="16.5">
      <c r="A772" s="57"/>
      <c r="B772" s="61">
        <v>767</v>
      </c>
      <c r="C772" s="146"/>
      <c r="D772" s="435"/>
      <c r="E772" s="436"/>
      <c r="F772" s="437"/>
      <c r="G772" s="438"/>
      <c r="H772" s="439"/>
      <c r="I772" s="440"/>
      <c r="J772" s="435"/>
      <c r="K772" s="436"/>
      <c r="L772" s="436"/>
      <c r="M772" s="441"/>
      <c r="N772" s="57"/>
      <c r="O772" s="57"/>
      <c r="P772" s="60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</row>
    <row r="773" spans="1:27" ht="16.5">
      <c r="A773" s="57"/>
      <c r="B773" s="61">
        <v>768</v>
      </c>
      <c r="C773" s="146"/>
      <c r="D773" s="435"/>
      <c r="E773" s="436"/>
      <c r="F773" s="437"/>
      <c r="G773" s="438"/>
      <c r="H773" s="439"/>
      <c r="I773" s="440"/>
      <c r="J773" s="435"/>
      <c r="K773" s="436"/>
      <c r="L773" s="436"/>
      <c r="M773" s="441"/>
      <c r="N773" s="57"/>
      <c r="O773" s="57"/>
      <c r="P773" s="60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</row>
    <row r="774" spans="1:27" ht="16.5">
      <c r="A774" s="57"/>
      <c r="B774" s="61">
        <v>769</v>
      </c>
      <c r="C774" s="146"/>
      <c r="D774" s="435"/>
      <c r="E774" s="436"/>
      <c r="F774" s="437"/>
      <c r="G774" s="438"/>
      <c r="H774" s="439"/>
      <c r="I774" s="440"/>
      <c r="J774" s="435"/>
      <c r="K774" s="436"/>
      <c r="L774" s="436"/>
      <c r="M774" s="441"/>
      <c r="N774" s="57"/>
      <c r="O774" s="57"/>
      <c r="P774" s="60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</row>
    <row r="775" spans="1:27" ht="16.5">
      <c r="A775" s="57"/>
      <c r="B775" s="61">
        <v>770</v>
      </c>
      <c r="C775" s="146"/>
      <c r="D775" s="435"/>
      <c r="E775" s="436"/>
      <c r="F775" s="437"/>
      <c r="G775" s="438"/>
      <c r="H775" s="439"/>
      <c r="I775" s="440"/>
      <c r="J775" s="435"/>
      <c r="K775" s="436"/>
      <c r="L775" s="436"/>
      <c r="M775" s="441"/>
      <c r="N775" s="57"/>
      <c r="O775" s="57"/>
      <c r="P775" s="60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</row>
    <row r="776" spans="1:27" ht="16.5">
      <c r="A776" s="57"/>
      <c r="B776" s="61">
        <v>771</v>
      </c>
      <c r="C776" s="146"/>
      <c r="D776" s="435"/>
      <c r="E776" s="436"/>
      <c r="F776" s="437"/>
      <c r="G776" s="438"/>
      <c r="H776" s="439"/>
      <c r="I776" s="440"/>
      <c r="J776" s="435"/>
      <c r="K776" s="436"/>
      <c r="L776" s="436"/>
      <c r="M776" s="441"/>
      <c r="N776" s="57"/>
      <c r="O776" s="57"/>
      <c r="P776" s="60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</row>
    <row r="777" spans="1:27" ht="16.5">
      <c r="A777" s="57"/>
      <c r="B777" s="61">
        <v>772</v>
      </c>
      <c r="C777" s="146"/>
      <c r="D777" s="435"/>
      <c r="E777" s="436"/>
      <c r="F777" s="437"/>
      <c r="G777" s="438"/>
      <c r="H777" s="439"/>
      <c r="I777" s="440"/>
      <c r="J777" s="435"/>
      <c r="K777" s="436"/>
      <c r="L777" s="436"/>
      <c r="M777" s="441"/>
      <c r="N777" s="57"/>
      <c r="O777" s="57"/>
      <c r="P777" s="60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</row>
    <row r="778" spans="1:27" ht="16.5">
      <c r="A778" s="57"/>
      <c r="B778" s="61">
        <v>773</v>
      </c>
      <c r="C778" s="146"/>
      <c r="D778" s="435"/>
      <c r="E778" s="436"/>
      <c r="F778" s="437"/>
      <c r="G778" s="438"/>
      <c r="H778" s="439"/>
      <c r="I778" s="440"/>
      <c r="J778" s="435"/>
      <c r="K778" s="436"/>
      <c r="L778" s="436"/>
      <c r="M778" s="441"/>
      <c r="N778" s="57"/>
      <c r="O778" s="57"/>
      <c r="P778" s="60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</row>
    <row r="779" spans="1:27" ht="16.5">
      <c r="A779" s="57"/>
      <c r="B779" s="61">
        <v>774</v>
      </c>
      <c r="C779" s="146"/>
      <c r="D779" s="435"/>
      <c r="E779" s="436"/>
      <c r="F779" s="437"/>
      <c r="G779" s="438"/>
      <c r="H779" s="439"/>
      <c r="I779" s="440"/>
      <c r="J779" s="435"/>
      <c r="K779" s="436"/>
      <c r="L779" s="436"/>
      <c r="M779" s="441"/>
      <c r="N779" s="57"/>
      <c r="O779" s="57"/>
      <c r="P779" s="60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</row>
    <row r="780" spans="1:27" ht="16.5">
      <c r="A780" s="57"/>
      <c r="B780" s="61">
        <v>775</v>
      </c>
      <c r="C780" s="146"/>
      <c r="D780" s="435"/>
      <c r="E780" s="436"/>
      <c r="F780" s="437"/>
      <c r="G780" s="438"/>
      <c r="H780" s="439"/>
      <c r="I780" s="440"/>
      <c r="J780" s="435"/>
      <c r="K780" s="436"/>
      <c r="L780" s="436"/>
      <c r="M780" s="441"/>
      <c r="N780" s="57"/>
      <c r="O780" s="57"/>
      <c r="P780" s="60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</row>
    <row r="781" spans="1:27" ht="16.5">
      <c r="A781" s="57"/>
      <c r="B781" s="61">
        <v>776</v>
      </c>
      <c r="C781" s="146"/>
      <c r="D781" s="435"/>
      <c r="E781" s="436"/>
      <c r="F781" s="437"/>
      <c r="G781" s="438"/>
      <c r="H781" s="439"/>
      <c r="I781" s="440"/>
      <c r="J781" s="435"/>
      <c r="K781" s="436"/>
      <c r="L781" s="436"/>
      <c r="M781" s="441"/>
      <c r="N781" s="57"/>
      <c r="O781" s="57"/>
      <c r="P781" s="60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</row>
    <row r="782" spans="1:27" ht="16.5">
      <c r="A782" s="57"/>
      <c r="B782" s="61">
        <v>777</v>
      </c>
      <c r="C782" s="146"/>
      <c r="D782" s="435"/>
      <c r="E782" s="436"/>
      <c r="F782" s="437"/>
      <c r="G782" s="438"/>
      <c r="H782" s="439"/>
      <c r="I782" s="440"/>
      <c r="J782" s="435"/>
      <c r="K782" s="436"/>
      <c r="L782" s="436"/>
      <c r="M782" s="441"/>
      <c r="N782" s="57"/>
      <c r="O782" s="57"/>
      <c r="P782" s="60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</row>
    <row r="783" spans="1:27" ht="16.5">
      <c r="A783" s="57"/>
      <c r="B783" s="61">
        <v>778</v>
      </c>
      <c r="C783" s="146"/>
      <c r="D783" s="435"/>
      <c r="E783" s="436"/>
      <c r="F783" s="437"/>
      <c r="G783" s="438"/>
      <c r="H783" s="439"/>
      <c r="I783" s="440"/>
      <c r="J783" s="435"/>
      <c r="K783" s="436"/>
      <c r="L783" s="436"/>
      <c r="M783" s="441"/>
      <c r="N783" s="57"/>
      <c r="O783" s="57"/>
      <c r="P783" s="60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</row>
    <row r="784" spans="1:27" ht="16.5">
      <c r="A784" s="57"/>
      <c r="B784" s="61">
        <v>779</v>
      </c>
      <c r="C784" s="146"/>
      <c r="D784" s="435"/>
      <c r="E784" s="436"/>
      <c r="F784" s="437"/>
      <c r="G784" s="438"/>
      <c r="H784" s="439"/>
      <c r="I784" s="440"/>
      <c r="J784" s="435"/>
      <c r="K784" s="436"/>
      <c r="L784" s="436"/>
      <c r="M784" s="441"/>
      <c r="N784" s="57"/>
      <c r="O784" s="57"/>
      <c r="P784" s="60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</row>
    <row r="785" spans="1:27" ht="16.5">
      <c r="A785" s="57"/>
      <c r="B785" s="61">
        <v>780</v>
      </c>
      <c r="C785" s="146"/>
      <c r="D785" s="435"/>
      <c r="E785" s="436"/>
      <c r="F785" s="437"/>
      <c r="G785" s="438"/>
      <c r="H785" s="439"/>
      <c r="I785" s="440"/>
      <c r="J785" s="435"/>
      <c r="K785" s="436"/>
      <c r="L785" s="436"/>
      <c r="M785" s="441"/>
      <c r="N785" s="57"/>
      <c r="O785" s="57"/>
      <c r="P785" s="60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</row>
    <row r="786" spans="1:27" ht="16.5">
      <c r="A786" s="57"/>
      <c r="B786" s="61">
        <v>781</v>
      </c>
      <c r="C786" s="146"/>
      <c r="D786" s="435"/>
      <c r="E786" s="436"/>
      <c r="F786" s="437"/>
      <c r="G786" s="438"/>
      <c r="H786" s="439"/>
      <c r="I786" s="440"/>
      <c r="J786" s="435"/>
      <c r="K786" s="436"/>
      <c r="L786" s="436"/>
      <c r="M786" s="441"/>
      <c r="N786" s="57"/>
      <c r="O786" s="57"/>
      <c r="P786" s="60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</row>
    <row r="787" spans="1:27" ht="16.5">
      <c r="A787" s="57"/>
      <c r="B787" s="61">
        <v>782</v>
      </c>
      <c r="C787" s="146"/>
      <c r="D787" s="435"/>
      <c r="E787" s="436"/>
      <c r="F787" s="437"/>
      <c r="G787" s="438"/>
      <c r="H787" s="439"/>
      <c r="I787" s="440"/>
      <c r="J787" s="435"/>
      <c r="K787" s="436"/>
      <c r="L787" s="436"/>
      <c r="M787" s="441"/>
      <c r="N787" s="57"/>
      <c r="O787" s="57"/>
      <c r="P787" s="60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</row>
    <row r="788" spans="1:27" ht="16.5">
      <c r="A788" s="57"/>
      <c r="B788" s="61">
        <v>783</v>
      </c>
      <c r="C788" s="146"/>
      <c r="D788" s="435"/>
      <c r="E788" s="436"/>
      <c r="F788" s="437"/>
      <c r="G788" s="438"/>
      <c r="H788" s="439"/>
      <c r="I788" s="440"/>
      <c r="J788" s="435"/>
      <c r="K788" s="436"/>
      <c r="L788" s="436"/>
      <c r="M788" s="441"/>
      <c r="N788" s="57"/>
      <c r="O788" s="57"/>
      <c r="P788" s="60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</row>
    <row r="789" spans="1:27" ht="16.5">
      <c r="A789" s="57"/>
      <c r="B789" s="61">
        <v>784</v>
      </c>
      <c r="C789" s="146"/>
      <c r="D789" s="435"/>
      <c r="E789" s="436"/>
      <c r="F789" s="437"/>
      <c r="G789" s="438"/>
      <c r="H789" s="439"/>
      <c r="I789" s="440"/>
      <c r="J789" s="435"/>
      <c r="K789" s="436"/>
      <c r="L789" s="436"/>
      <c r="M789" s="441"/>
      <c r="N789" s="57"/>
      <c r="O789" s="57"/>
      <c r="P789" s="60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</row>
    <row r="790" spans="1:27" ht="16.5">
      <c r="A790" s="57"/>
      <c r="B790" s="61">
        <v>785</v>
      </c>
      <c r="C790" s="146"/>
      <c r="D790" s="435"/>
      <c r="E790" s="436"/>
      <c r="F790" s="437"/>
      <c r="G790" s="438"/>
      <c r="H790" s="439"/>
      <c r="I790" s="440"/>
      <c r="J790" s="435"/>
      <c r="K790" s="436"/>
      <c r="L790" s="436"/>
      <c r="M790" s="441"/>
      <c r="N790" s="57"/>
      <c r="O790" s="57"/>
      <c r="P790" s="60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</row>
    <row r="791" spans="1:27" ht="16.5">
      <c r="A791" s="57"/>
      <c r="B791" s="61">
        <v>786</v>
      </c>
      <c r="C791" s="146"/>
      <c r="D791" s="435"/>
      <c r="E791" s="436"/>
      <c r="F791" s="437"/>
      <c r="G791" s="438"/>
      <c r="H791" s="439"/>
      <c r="I791" s="440"/>
      <c r="J791" s="435"/>
      <c r="K791" s="436"/>
      <c r="L791" s="436"/>
      <c r="M791" s="441"/>
      <c r="N791" s="57"/>
      <c r="O791" s="57"/>
      <c r="P791" s="60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</row>
    <row r="792" spans="1:27" ht="16.5">
      <c r="A792" s="57"/>
      <c r="B792" s="61">
        <v>787</v>
      </c>
      <c r="C792" s="146"/>
      <c r="D792" s="435"/>
      <c r="E792" s="436"/>
      <c r="F792" s="437"/>
      <c r="G792" s="438"/>
      <c r="H792" s="439"/>
      <c r="I792" s="440"/>
      <c r="J792" s="435"/>
      <c r="K792" s="436"/>
      <c r="L792" s="436"/>
      <c r="M792" s="441"/>
      <c r="N792" s="57"/>
      <c r="O792" s="57"/>
      <c r="P792" s="60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</row>
    <row r="793" spans="1:27" ht="16.5">
      <c r="A793" s="57"/>
      <c r="B793" s="61">
        <v>788</v>
      </c>
      <c r="C793" s="146"/>
      <c r="D793" s="435"/>
      <c r="E793" s="436"/>
      <c r="F793" s="437"/>
      <c r="G793" s="438"/>
      <c r="H793" s="439"/>
      <c r="I793" s="440"/>
      <c r="J793" s="435"/>
      <c r="K793" s="436"/>
      <c r="L793" s="436"/>
      <c r="M793" s="441"/>
      <c r="N793" s="57"/>
      <c r="O793" s="57"/>
      <c r="P793" s="60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</row>
    <row r="794" spans="1:27" ht="16.5">
      <c r="A794" s="57"/>
      <c r="B794" s="61">
        <v>789</v>
      </c>
      <c r="C794" s="146"/>
      <c r="D794" s="435"/>
      <c r="E794" s="436"/>
      <c r="F794" s="437"/>
      <c r="G794" s="438"/>
      <c r="H794" s="439"/>
      <c r="I794" s="440"/>
      <c r="J794" s="435"/>
      <c r="K794" s="436"/>
      <c r="L794" s="436"/>
      <c r="M794" s="441"/>
      <c r="N794" s="57"/>
      <c r="O794" s="57"/>
      <c r="P794" s="60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</row>
    <row r="795" spans="1:27" ht="16.5">
      <c r="A795" s="57"/>
      <c r="B795" s="61">
        <v>790</v>
      </c>
      <c r="C795" s="146"/>
      <c r="D795" s="435"/>
      <c r="E795" s="436"/>
      <c r="F795" s="437"/>
      <c r="G795" s="438"/>
      <c r="H795" s="439"/>
      <c r="I795" s="440"/>
      <c r="J795" s="435"/>
      <c r="K795" s="436"/>
      <c r="L795" s="436"/>
      <c r="M795" s="441"/>
      <c r="N795" s="57"/>
      <c r="O795" s="57"/>
      <c r="P795" s="60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</row>
    <row r="796" spans="1:27" ht="16.5">
      <c r="A796" s="57"/>
      <c r="B796" s="61">
        <v>791</v>
      </c>
      <c r="C796" s="146"/>
      <c r="D796" s="435"/>
      <c r="E796" s="436"/>
      <c r="F796" s="437"/>
      <c r="G796" s="438"/>
      <c r="H796" s="439"/>
      <c r="I796" s="440"/>
      <c r="J796" s="435"/>
      <c r="K796" s="436"/>
      <c r="L796" s="436"/>
      <c r="M796" s="441"/>
      <c r="N796" s="57"/>
      <c r="O796" s="57"/>
      <c r="P796" s="60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</row>
    <row r="797" spans="1:27" ht="16.5">
      <c r="A797" s="57"/>
      <c r="B797" s="61">
        <v>792</v>
      </c>
      <c r="C797" s="146"/>
      <c r="D797" s="435"/>
      <c r="E797" s="436"/>
      <c r="F797" s="437"/>
      <c r="G797" s="438"/>
      <c r="H797" s="439"/>
      <c r="I797" s="440"/>
      <c r="J797" s="435"/>
      <c r="K797" s="436"/>
      <c r="L797" s="436"/>
      <c r="M797" s="441"/>
      <c r="N797" s="57"/>
      <c r="O797" s="57"/>
      <c r="P797" s="60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</row>
    <row r="798" spans="1:27" ht="16.5">
      <c r="A798" s="57"/>
      <c r="B798" s="61">
        <v>793</v>
      </c>
      <c r="C798" s="146"/>
      <c r="D798" s="435"/>
      <c r="E798" s="436"/>
      <c r="F798" s="437"/>
      <c r="G798" s="438"/>
      <c r="H798" s="439"/>
      <c r="I798" s="440"/>
      <c r="J798" s="435"/>
      <c r="K798" s="436"/>
      <c r="L798" s="436"/>
      <c r="M798" s="441"/>
      <c r="N798" s="57"/>
      <c r="O798" s="57"/>
      <c r="P798" s="60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</row>
    <row r="799" spans="1:27" ht="16.5">
      <c r="A799" s="57"/>
      <c r="B799" s="61">
        <v>794</v>
      </c>
      <c r="C799" s="146"/>
      <c r="D799" s="435"/>
      <c r="E799" s="436"/>
      <c r="F799" s="437"/>
      <c r="G799" s="438"/>
      <c r="H799" s="439"/>
      <c r="I799" s="440"/>
      <c r="J799" s="435"/>
      <c r="K799" s="436"/>
      <c r="L799" s="436"/>
      <c r="M799" s="441"/>
      <c r="N799" s="57"/>
      <c r="O799" s="57"/>
      <c r="P799" s="60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</row>
    <row r="800" spans="1:27" ht="16.5">
      <c r="A800" s="57"/>
      <c r="B800" s="61">
        <v>795</v>
      </c>
      <c r="C800" s="146"/>
      <c r="D800" s="435"/>
      <c r="E800" s="436"/>
      <c r="F800" s="437"/>
      <c r="G800" s="438"/>
      <c r="H800" s="439"/>
      <c r="I800" s="440"/>
      <c r="J800" s="435"/>
      <c r="K800" s="436"/>
      <c r="L800" s="436"/>
      <c r="M800" s="441"/>
      <c r="N800" s="57"/>
      <c r="O800" s="57"/>
      <c r="P800" s="60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</row>
    <row r="801" spans="1:27" ht="16.5">
      <c r="A801" s="57"/>
      <c r="B801" s="61">
        <v>796</v>
      </c>
      <c r="C801" s="146"/>
      <c r="D801" s="435"/>
      <c r="E801" s="436"/>
      <c r="F801" s="437"/>
      <c r="G801" s="438"/>
      <c r="H801" s="439"/>
      <c r="I801" s="440"/>
      <c r="J801" s="435"/>
      <c r="K801" s="436"/>
      <c r="L801" s="436"/>
      <c r="M801" s="441"/>
      <c r="N801" s="57"/>
      <c r="O801" s="57"/>
      <c r="P801" s="60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</row>
    <row r="802" spans="1:27" ht="16.5">
      <c r="A802" s="57"/>
      <c r="B802" s="61">
        <v>797</v>
      </c>
      <c r="C802" s="146"/>
      <c r="D802" s="435"/>
      <c r="E802" s="436"/>
      <c r="F802" s="437"/>
      <c r="G802" s="438"/>
      <c r="H802" s="439"/>
      <c r="I802" s="440"/>
      <c r="J802" s="435"/>
      <c r="K802" s="436"/>
      <c r="L802" s="436"/>
      <c r="M802" s="441"/>
      <c r="N802" s="57"/>
      <c r="O802" s="57"/>
      <c r="P802" s="60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</row>
    <row r="803" spans="1:27" ht="16.5">
      <c r="A803" s="57"/>
      <c r="B803" s="61">
        <v>798</v>
      </c>
      <c r="C803" s="146"/>
      <c r="D803" s="435"/>
      <c r="E803" s="436"/>
      <c r="F803" s="437"/>
      <c r="G803" s="438"/>
      <c r="H803" s="439"/>
      <c r="I803" s="440"/>
      <c r="J803" s="435"/>
      <c r="K803" s="436"/>
      <c r="L803" s="436"/>
      <c r="M803" s="441"/>
      <c r="N803" s="57"/>
      <c r="O803" s="57"/>
      <c r="P803" s="60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</row>
    <row r="804" spans="1:27" ht="16.5">
      <c r="A804" s="57"/>
      <c r="B804" s="61">
        <v>799</v>
      </c>
      <c r="C804" s="146"/>
      <c r="D804" s="435"/>
      <c r="E804" s="436"/>
      <c r="F804" s="437"/>
      <c r="G804" s="438"/>
      <c r="H804" s="439"/>
      <c r="I804" s="440"/>
      <c r="J804" s="435"/>
      <c r="K804" s="436"/>
      <c r="L804" s="436"/>
      <c r="M804" s="441"/>
      <c r="N804" s="57"/>
      <c r="O804" s="57"/>
      <c r="P804" s="60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</row>
    <row r="805" spans="1:27" ht="16.5">
      <c r="A805" s="57"/>
      <c r="B805" s="61">
        <v>800</v>
      </c>
      <c r="C805" s="146"/>
      <c r="D805" s="435"/>
      <c r="E805" s="436"/>
      <c r="F805" s="437"/>
      <c r="G805" s="438"/>
      <c r="H805" s="439"/>
      <c r="I805" s="440"/>
      <c r="J805" s="435"/>
      <c r="K805" s="436"/>
      <c r="L805" s="436"/>
      <c r="M805" s="441"/>
      <c r="N805" s="57"/>
      <c r="O805" s="57"/>
      <c r="P805" s="60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</row>
    <row r="806" spans="1:27" ht="16.5">
      <c r="A806" s="57"/>
      <c r="B806" s="61">
        <v>801</v>
      </c>
      <c r="C806" s="146"/>
      <c r="D806" s="435"/>
      <c r="E806" s="436"/>
      <c r="F806" s="437"/>
      <c r="G806" s="438"/>
      <c r="H806" s="439"/>
      <c r="I806" s="440"/>
      <c r="J806" s="435"/>
      <c r="K806" s="436"/>
      <c r="L806" s="436"/>
      <c r="M806" s="441"/>
      <c r="N806" s="57"/>
      <c r="O806" s="57"/>
      <c r="P806" s="60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</row>
    <row r="807" spans="1:27" ht="16.5">
      <c r="A807" s="57"/>
      <c r="B807" s="61">
        <v>802</v>
      </c>
      <c r="C807" s="146"/>
      <c r="D807" s="435"/>
      <c r="E807" s="436"/>
      <c r="F807" s="437"/>
      <c r="G807" s="438"/>
      <c r="H807" s="439"/>
      <c r="I807" s="440"/>
      <c r="J807" s="435"/>
      <c r="K807" s="436"/>
      <c r="L807" s="436"/>
      <c r="M807" s="441"/>
      <c r="N807" s="57"/>
      <c r="O807" s="57"/>
      <c r="P807" s="60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</row>
    <row r="808" spans="1:27" ht="16.5">
      <c r="A808" s="57"/>
      <c r="B808" s="61">
        <v>803</v>
      </c>
      <c r="C808" s="146"/>
      <c r="D808" s="435"/>
      <c r="E808" s="436"/>
      <c r="F808" s="437"/>
      <c r="G808" s="438"/>
      <c r="H808" s="439"/>
      <c r="I808" s="440"/>
      <c r="J808" s="435"/>
      <c r="K808" s="436"/>
      <c r="L808" s="436"/>
      <c r="M808" s="441"/>
      <c r="N808" s="57"/>
      <c r="O808" s="57"/>
      <c r="P808" s="60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</row>
    <row r="809" spans="1:27" ht="16.5">
      <c r="A809" s="57"/>
      <c r="B809" s="61">
        <v>804</v>
      </c>
      <c r="C809" s="146"/>
      <c r="D809" s="435"/>
      <c r="E809" s="436"/>
      <c r="F809" s="437"/>
      <c r="G809" s="438"/>
      <c r="H809" s="439"/>
      <c r="I809" s="440"/>
      <c r="J809" s="435"/>
      <c r="K809" s="436"/>
      <c r="L809" s="436"/>
      <c r="M809" s="441"/>
      <c r="N809" s="57"/>
      <c r="O809" s="57"/>
      <c r="P809" s="60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</row>
    <row r="810" spans="1:27" ht="16.5">
      <c r="A810" s="57"/>
      <c r="B810" s="61">
        <v>805</v>
      </c>
      <c r="C810" s="146"/>
      <c r="D810" s="435"/>
      <c r="E810" s="436"/>
      <c r="F810" s="437"/>
      <c r="G810" s="438"/>
      <c r="H810" s="439"/>
      <c r="I810" s="440"/>
      <c r="J810" s="435"/>
      <c r="K810" s="436"/>
      <c r="L810" s="436"/>
      <c r="M810" s="441"/>
      <c r="N810" s="57"/>
      <c r="O810" s="57"/>
      <c r="P810" s="60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</row>
    <row r="811" spans="1:27" ht="16.5">
      <c r="A811" s="57"/>
      <c r="B811" s="61">
        <v>806</v>
      </c>
      <c r="C811" s="146"/>
      <c r="D811" s="435"/>
      <c r="E811" s="436"/>
      <c r="F811" s="437"/>
      <c r="G811" s="438"/>
      <c r="H811" s="439"/>
      <c r="I811" s="440"/>
      <c r="J811" s="435"/>
      <c r="K811" s="436"/>
      <c r="L811" s="436"/>
      <c r="M811" s="441"/>
      <c r="N811" s="57"/>
      <c r="O811" s="57"/>
      <c r="P811" s="60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</row>
    <row r="812" spans="1:27" ht="16.5">
      <c r="A812" s="57"/>
      <c r="B812" s="61">
        <v>807</v>
      </c>
      <c r="C812" s="146"/>
      <c r="D812" s="435"/>
      <c r="E812" s="436"/>
      <c r="F812" s="437"/>
      <c r="G812" s="438"/>
      <c r="H812" s="439"/>
      <c r="I812" s="440"/>
      <c r="J812" s="435"/>
      <c r="K812" s="436"/>
      <c r="L812" s="436"/>
      <c r="M812" s="441"/>
      <c r="N812" s="57"/>
      <c r="O812" s="57"/>
      <c r="P812" s="60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</row>
    <row r="813" spans="1:27" ht="16.5">
      <c r="A813" s="57"/>
      <c r="B813" s="61">
        <v>808</v>
      </c>
      <c r="C813" s="146"/>
      <c r="D813" s="435"/>
      <c r="E813" s="436"/>
      <c r="F813" s="437"/>
      <c r="G813" s="438"/>
      <c r="H813" s="439"/>
      <c r="I813" s="440"/>
      <c r="J813" s="435"/>
      <c r="K813" s="436"/>
      <c r="L813" s="436"/>
      <c r="M813" s="441"/>
      <c r="N813" s="57"/>
      <c r="O813" s="57"/>
      <c r="P813" s="60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</row>
    <row r="814" spans="1:27" ht="16.5">
      <c r="A814" s="57"/>
      <c r="B814" s="61">
        <v>809</v>
      </c>
      <c r="C814" s="146"/>
      <c r="D814" s="435"/>
      <c r="E814" s="436"/>
      <c r="F814" s="437"/>
      <c r="G814" s="438"/>
      <c r="H814" s="439"/>
      <c r="I814" s="440"/>
      <c r="J814" s="435"/>
      <c r="K814" s="436"/>
      <c r="L814" s="436"/>
      <c r="M814" s="441"/>
      <c r="N814" s="57"/>
      <c r="O814" s="57"/>
      <c r="P814" s="60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</row>
    <row r="815" spans="1:27" ht="16.5">
      <c r="A815" s="57"/>
      <c r="B815" s="61">
        <v>810</v>
      </c>
      <c r="C815" s="146"/>
      <c r="D815" s="435"/>
      <c r="E815" s="436"/>
      <c r="F815" s="437"/>
      <c r="G815" s="438"/>
      <c r="H815" s="439"/>
      <c r="I815" s="440"/>
      <c r="J815" s="435"/>
      <c r="K815" s="436"/>
      <c r="L815" s="436"/>
      <c r="M815" s="441"/>
      <c r="N815" s="57"/>
      <c r="O815" s="57"/>
      <c r="P815" s="60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</row>
    <row r="816" spans="1:27" ht="16.5">
      <c r="A816" s="57"/>
      <c r="B816" s="61">
        <v>811</v>
      </c>
      <c r="C816" s="146"/>
      <c r="D816" s="435"/>
      <c r="E816" s="436"/>
      <c r="F816" s="437"/>
      <c r="G816" s="438"/>
      <c r="H816" s="439"/>
      <c r="I816" s="440"/>
      <c r="J816" s="435"/>
      <c r="K816" s="436"/>
      <c r="L816" s="436"/>
      <c r="M816" s="441"/>
      <c r="N816" s="57"/>
      <c r="O816" s="57"/>
      <c r="P816" s="60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</row>
    <row r="817" spans="1:27" ht="16.5">
      <c r="A817" s="57"/>
      <c r="B817" s="61">
        <v>812</v>
      </c>
      <c r="C817" s="146"/>
      <c r="D817" s="435"/>
      <c r="E817" s="436"/>
      <c r="F817" s="437"/>
      <c r="G817" s="438"/>
      <c r="H817" s="439"/>
      <c r="I817" s="440"/>
      <c r="J817" s="435"/>
      <c r="K817" s="436"/>
      <c r="L817" s="436"/>
      <c r="M817" s="441"/>
      <c r="N817" s="57"/>
      <c r="O817" s="57"/>
      <c r="P817" s="60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</row>
    <row r="818" spans="1:27" ht="16.5">
      <c r="A818" s="57"/>
      <c r="B818" s="61">
        <v>813</v>
      </c>
      <c r="C818" s="146"/>
      <c r="D818" s="435"/>
      <c r="E818" s="436"/>
      <c r="F818" s="437"/>
      <c r="G818" s="438"/>
      <c r="H818" s="439"/>
      <c r="I818" s="440"/>
      <c r="J818" s="435"/>
      <c r="K818" s="436"/>
      <c r="L818" s="436"/>
      <c r="M818" s="441"/>
      <c r="N818" s="57"/>
      <c r="O818" s="57"/>
      <c r="P818" s="60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</row>
    <row r="819" spans="1:27" ht="16.5">
      <c r="A819" s="57"/>
      <c r="B819" s="61">
        <v>814</v>
      </c>
      <c r="C819" s="146"/>
      <c r="D819" s="435"/>
      <c r="E819" s="436"/>
      <c r="F819" s="437"/>
      <c r="G819" s="438"/>
      <c r="H819" s="439"/>
      <c r="I819" s="440"/>
      <c r="J819" s="435"/>
      <c r="K819" s="436"/>
      <c r="L819" s="436"/>
      <c r="M819" s="441"/>
      <c r="N819" s="57"/>
      <c r="O819" s="57"/>
      <c r="P819" s="60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</row>
    <row r="820" spans="1:27" ht="16.5">
      <c r="A820" s="57"/>
      <c r="B820" s="61">
        <v>815</v>
      </c>
      <c r="C820" s="146"/>
      <c r="D820" s="435"/>
      <c r="E820" s="436"/>
      <c r="F820" s="437"/>
      <c r="G820" s="438"/>
      <c r="H820" s="439"/>
      <c r="I820" s="440"/>
      <c r="J820" s="435"/>
      <c r="K820" s="436"/>
      <c r="L820" s="436"/>
      <c r="M820" s="441"/>
      <c r="N820" s="57"/>
      <c r="O820" s="57"/>
      <c r="P820" s="60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</row>
    <row r="821" spans="1:27" ht="16.5">
      <c r="A821" s="57"/>
      <c r="B821" s="61">
        <v>816</v>
      </c>
      <c r="C821" s="146"/>
      <c r="D821" s="435"/>
      <c r="E821" s="436"/>
      <c r="F821" s="437"/>
      <c r="G821" s="438"/>
      <c r="H821" s="439"/>
      <c r="I821" s="440"/>
      <c r="J821" s="435"/>
      <c r="K821" s="436"/>
      <c r="L821" s="436"/>
      <c r="M821" s="441"/>
      <c r="N821" s="57"/>
      <c r="O821" s="57"/>
      <c r="P821" s="60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</row>
    <row r="822" spans="1:27" ht="16.5">
      <c r="A822" s="57"/>
      <c r="B822" s="61">
        <v>817</v>
      </c>
      <c r="C822" s="146"/>
      <c r="D822" s="435"/>
      <c r="E822" s="436"/>
      <c r="F822" s="437"/>
      <c r="G822" s="438"/>
      <c r="H822" s="439"/>
      <c r="I822" s="440"/>
      <c r="J822" s="435"/>
      <c r="K822" s="436"/>
      <c r="L822" s="436"/>
      <c r="M822" s="441"/>
      <c r="N822" s="57"/>
      <c r="O822" s="57"/>
      <c r="P822" s="60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</row>
    <row r="823" spans="1:27" ht="16.5">
      <c r="A823" s="57"/>
      <c r="B823" s="61">
        <v>818</v>
      </c>
      <c r="C823" s="146"/>
      <c r="D823" s="435"/>
      <c r="E823" s="436"/>
      <c r="F823" s="437"/>
      <c r="G823" s="438"/>
      <c r="H823" s="439"/>
      <c r="I823" s="440"/>
      <c r="J823" s="435"/>
      <c r="K823" s="436"/>
      <c r="L823" s="436"/>
      <c r="M823" s="441"/>
      <c r="N823" s="57"/>
      <c r="O823" s="57"/>
      <c r="P823" s="60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</row>
    <row r="824" spans="1:27" ht="16.5">
      <c r="A824" s="57"/>
      <c r="B824" s="61">
        <v>819</v>
      </c>
      <c r="C824" s="146"/>
      <c r="D824" s="435"/>
      <c r="E824" s="436"/>
      <c r="F824" s="437"/>
      <c r="G824" s="438"/>
      <c r="H824" s="439"/>
      <c r="I824" s="440"/>
      <c r="J824" s="435"/>
      <c r="K824" s="436"/>
      <c r="L824" s="436"/>
      <c r="M824" s="441"/>
      <c r="N824" s="57"/>
      <c r="O824" s="57"/>
      <c r="P824" s="60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</row>
    <row r="825" spans="1:27" ht="16.5">
      <c r="A825" s="57"/>
      <c r="B825" s="61">
        <v>820</v>
      </c>
      <c r="C825" s="146"/>
      <c r="D825" s="435"/>
      <c r="E825" s="436"/>
      <c r="F825" s="437"/>
      <c r="G825" s="438"/>
      <c r="H825" s="439"/>
      <c r="I825" s="440"/>
      <c r="J825" s="435"/>
      <c r="K825" s="436"/>
      <c r="L825" s="436"/>
      <c r="M825" s="441"/>
      <c r="N825" s="57"/>
      <c r="O825" s="57"/>
      <c r="P825" s="60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</row>
    <row r="826" spans="1:27" ht="16.5">
      <c r="A826" s="57"/>
      <c r="B826" s="61">
        <v>821</v>
      </c>
      <c r="C826" s="146"/>
      <c r="D826" s="435"/>
      <c r="E826" s="436"/>
      <c r="F826" s="437"/>
      <c r="G826" s="438"/>
      <c r="H826" s="439"/>
      <c r="I826" s="440"/>
      <c r="J826" s="435"/>
      <c r="K826" s="436"/>
      <c r="L826" s="436"/>
      <c r="M826" s="441"/>
      <c r="N826" s="57"/>
      <c r="O826" s="57"/>
      <c r="P826" s="60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</row>
    <row r="827" spans="1:27" ht="16.5">
      <c r="A827" s="57"/>
      <c r="B827" s="61">
        <v>822</v>
      </c>
      <c r="C827" s="146"/>
      <c r="D827" s="435"/>
      <c r="E827" s="436"/>
      <c r="F827" s="437"/>
      <c r="G827" s="438"/>
      <c r="H827" s="439"/>
      <c r="I827" s="440"/>
      <c r="J827" s="435"/>
      <c r="K827" s="436"/>
      <c r="L827" s="436"/>
      <c r="M827" s="441"/>
      <c r="N827" s="57"/>
      <c r="O827" s="57"/>
      <c r="P827" s="60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</row>
    <row r="828" spans="1:27" ht="16.5">
      <c r="A828" s="57"/>
      <c r="B828" s="61">
        <v>823</v>
      </c>
      <c r="C828" s="146"/>
      <c r="D828" s="435"/>
      <c r="E828" s="436"/>
      <c r="F828" s="437"/>
      <c r="G828" s="438"/>
      <c r="H828" s="439"/>
      <c r="I828" s="440"/>
      <c r="J828" s="435"/>
      <c r="K828" s="436"/>
      <c r="L828" s="436"/>
      <c r="M828" s="441"/>
      <c r="N828" s="57"/>
      <c r="O828" s="57"/>
      <c r="P828" s="60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</row>
    <row r="829" spans="1:27" ht="16.5">
      <c r="A829" s="57"/>
      <c r="B829" s="61">
        <v>824</v>
      </c>
      <c r="C829" s="146"/>
      <c r="D829" s="435"/>
      <c r="E829" s="436"/>
      <c r="F829" s="437"/>
      <c r="G829" s="438"/>
      <c r="H829" s="439"/>
      <c r="I829" s="440"/>
      <c r="J829" s="435"/>
      <c r="K829" s="436"/>
      <c r="L829" s="436"/>
      <c r="M829" s="441"/>
      <c r="N829" s="57"/>
      <c r="O829" s="57"/>
      <c r="P829" s="60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</row>
    <row r="830" spans="1:27" ht="16.5">
      <c r="A830" s="57"/>
      <c r="B830" s="61">
        <v>825</v>
      </c>
      <c r="C830" s="146"/>
      <c r="D830" s="435"/>
      <c r="E830" s="436"/>
      <c r="F830" s="437"/>
      <c r="G830" s="438"/>
      <c r="H830" s="439"/>
      <c r="I830" s="440"/>
      <c r="J830" s="435"/>
      <c r="K830" s="436"/>
      <c r="L830" s="436"/>
      <c r="M830" s="441"/>
      <c r="N830" s="57"/>
      <c r="O830" s="57"/>
      <c r="P830" s="60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</row>
    <row r="831" spans="1:27" ht="16.5">
      <c r="A831" s="57"/>
      <c r="B831" s="61">
        <v>826</v>
      </c>
      <c r="C831" s="146"/>
      <c r="D831" s="435"/>
      <c r="E831" s="436"/>
      <c r="F831" s="437"/>
      <c r="G831" s="438"/>
      <c r="H831" s="439"/>
      <c r="I831" s="440"/>
      <c r="J831" s="435"/>
      <c r="K831" s="436"/>
      <c r="L831" s="436"/>
      <c r="M831" s="441"/>
      <c r="N831" s="57"/>
      <c r="O831" s="57"/>
      <c r="P831" s="60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</row>
    <row r="832" spans="1:27" ht="16.5">
      <c r="A832" s="57"/>
      <c r="B832" s="61">
        <v>827</v>
      </c>
      <c r="C832" s="146"/>
      <c r="D832" s="435"/>
      <c r="E832" s="436"/>
      <c r="F832" s="437"/>
      <c r="G832" s="438"/>
      <c r="H832" s="439"/>
      <c r="I832" s="440"/>
      <c r="J832" s="435"/>
      <c r="K832" s="436"/>
      <c r="L832" s="436"/>
      <c r="M832" s="441"/>
      <c r="N832" s="57"/>
      <c r="O832" s="57"/>
      <c r="P832" s="60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</row>
    <row r="833" spans="1:27" ht="16.5">
      <c r="A833" s="57"/>
      <c r="B833" s="61">
        <v>828</v>
      </c>
      <c r="C833" s="146"/>
      <c r="D833" s="435"/>
      <c r="E833" s="436"/>
      <c r="F833" s="437"/>
      <c r="G833" s="438"/>
      <c r="H833" s="439"/>
      <c r="I833" s="440"/>
      <c r="J833" s="435"/>
      <c r="K833" s="436"/>
      <c r="L833" s="436"/>
      <c r="M833" s="441"/>
      <c r="N833" s="57"/>
      <c r="O833" s="57"/>
      <c r="P833" s="60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</row>
    <row r="834" spans="1:27" ht="16.5">
      <c r="A834" s="57"/>
      <c r="B834" s="61">
        <v>829</v>
      </c>
      <c r="C834" s="146"/>
      <c r="D834" s="435"/>
      <c r="E834" s="436"/>
      <c r="F834" s="437"/>
      <c r="G834" s="438"/>
      <c r="H834" s="439"/>
      <c r="I834" s="440"/>
      <c r="J834" s="435"/>
      <c r="K834" s="436"/>
      <c r="L834" s="436"/>
      <c r="M834" s="441"/>
      <c r="N834" s="57"/>
      <c r="O834" s="57"/>
      <c r="P834" s="60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</row>
    <row r="835" spans="1:27" ht="16.5">
      <c r="A835" s="57"/>
      <c r="B835" s="61">
        <v>830</v>
      </c>
      <c r="C835" s="146"/>
      <c r="D835" s="435"/>
      <c r="E835" s="436"/>
      <c r="F835" s="437"/>
      <c r="G835" s="438"/>
      <c r="H835" s="439"/>
      <c r="I835" s="440"/>
      <c r="J835" s="435"/>
      <c r="K835" s="436"/>
      <c r="L835" s="436"/>
      <c r="M835" s="441"/>
      <c r="N835" s="57"/>
      <c r="O835" s="57"/>
      <c r="P835" s="60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</row>
    <row r="836" spans="1:27" ht="16.5">
      <c r="A836" s="57"/>
      <c r="B836" s="61">
        <v>831</v>
      </c>
      <c r="C836" s="146"/>
      <c r="D836" s="435"/>
      <c r="E836" s="436"/>
      <c r="F836" s="437"/>
      <c r="G836" s="438"/>
      <c r="H836" s="439"/>
      <c r="I836" s="440"/>
      <c r="J836" s="435"/>
      <c r="K836" s="436"/>
      <c r="L836" s="436"/>
      <c r="M836" s="441"/>
      <c r="N836" s="57"/>
      <c r="O836" s="57"/>
      <c r="P836" s="60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</row>
    <row r="837" spans="1:27" ht="16.5">
      <c r="A837" s="57"/>
      <c r="B837" s="61">
        <v>832</v>
      </c>
      <c r="C837" s="146"/>
      <c r="D837" s="435"/>
      <c r="E837" s="436"/>
      <c r="F837" s="437"/>
      <c r="G837" s="438"/>
      <c r="H837" s="439"/>
      <c r="I837" s="440"/>
      <c r="J837" s="435"/>
      <c r="K837" s="436"/>
      <c r="L837" s="436"/>
      <c r="M837" s="441"/>
      <c r="N837" s="57"/>
      <c r="O837" s="57"/>
      <c r="P837" s="60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</row>
    <row r="838" spans="1:27" ht="16.5">
      <c r="A838" s="57"/>
      <c r="B838" s="61">
        <v>833</v>
      </c>
      <c r="C838" s="146"/>
      <c r="D838" s="435"/>
      <c r="E838" s="436"/>
      <c r="F838" s="437"/>
      <c r="G838" s="438"/>
      <c r="H838" s="439"/>
      <c r="I838" s="440"/>
      <c r="J838" s="435"/>
      <c r="K838" s="436"/>
      <c r="L838" s="436"/>
      <c r="M838" s="441"/>
      <c r="N838" s="57"/>
      <c r="O838" s="57"/>
      <c r="P838" s="60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</row>
    <row r="839" spans="1:27" ht="16.5">
      <c r="A839" s="57"/>
      <c r="B839" s="61">
        <v>834</v>
      </c>
      <c r="C839" s="146"/>
      <c r="D839" s="435"/>
      <c r="E839" s="436"/>
      <c r="F839" s="437"/>
      <c r="G839" s="438"/>
      <c r="H839" s="439"/>
      <c r="I839" s="440"/>
      <c r="J839" s="435"/>
      <c r="K839" s="436"/>
      <c r="L839" s="436"/>
      <c r="M839" s="441"/>
      <c r="N839" s="57"/>
      <c r="O839" s="57"/>
      <c r="P839" s="60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</row>
    <row r="840" spans="1:27" ht="16.5">
      <c r="A840" s="57"/>
      <c r="B840" s="61">
        <v>835</v>
      </c>
      <c r="C840" s="146"/>
      <c r="D840" s="435"/>
      <c r="E840" s="436"/>
      <c r="F840" s="437"/>
      <c r="G840" s="438"/>
      <c r="H840" s="439"/>
      <c r="I840" s="440"/>
      <c r="J840" s="435"/>
      <c r="K840" s="436"/>
      <c r="L840" s="436"/>
      <c r="M840" s="441"/>
      <c r="N840" s="57"/>
      <c r="O840" s="57"/>
      <c r="P840" s="60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</row>
    <row r="841" spans="1:27" ht="16.5">
      <c r="A841" s="57"/>
      <c r="B841" s="61">
        <v>836</v>
      </c>
      <c r="C841" s="146"/>
      <c r="D841" s="435"/>
      <c r="E841" s="436"/>
      <c r="F841" s="437"/>
      <c r="G841" s="438"/>
      <c r="H841" s="439"/>
      <c r="I841" s="440"/>
      <c r="J841" s="435"/>
      <c r="K841" s="436"/>
      <c r="L841" s="436"/>
      <c r="M841" s="441"/>
      <c r="N841" s="57"/>
      <c r="O841" s="57"/>
      <c r="P841" s="60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</row>
    <row r="842" spans="1:27" ht="16.5">
      <c r="A842" s="57"/>
      <c r="B842" s="61">
        <v>837</v>
      </c>
      <c r="C842" s="146"/>
      <c r="D842" s="435"/>
      <c r="E842" s="436"/>
      <c r="F842" s="437"/>
      <c r="G842" s="438"/>
      <c r="H842" s="439"/>
      <c r="I842" s="440"/>
      <c r="J842" s="435"/>
      <c r="K842" s="436"/>
      <c r="L842" s="436"/>
      <c r="M842" s="441"/>
      <c r="N842" s="57"/>
      <c r="O842" s="57"/>
      <c r="P842" s="60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</row>
    <row r="843" spans="1:27" ht="16.5">
      <c r="A843" s="57"/>
      <c r="B843" s="61">
        <v>838</v>
      </c>
      <c r="C843" s="146"/>
      <c r="D843" s="435"/>
      <c r="E843" s="436"/>
      <c r="F843" s="437"/>
      <c r="G843" s="438"/>
      <c r="H843" s="439"/>
      <c r="I843" s="440"/>
      <c r="J843" s="435"/>
      <c r="K843" s="436"/>
      <c r="L843" s="436"/>
      <c r="M843" s="441"/>
      <c r="N843" s="57"/>
      <c r="O843" s="57"/>
      <c r="P843" s="60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</row>
    <row r="844" spans="1:27" ht="16.5">
      <c r="A844" s="57"/>
      <c r="B844" s="61">
        <v>839</v>
      </c>
      <c r="C844" s="146"/>
      <c r="D844" s="435"/>
      <c r="E844" s="436"/>
      <c r="F844" s="437"/>
      <c r="G844" s="438"/>
      <c r="H844" s="439"/>
      <c r="I844" s="440"/>
      <c r="J844" s="435"/>
      <c r="K844" s="436"/>
      <c r="L844" s="436"/>
      <c r="M844" s="441"/>
      <c r="N844" s="57"/>
      <c r="O844" s="57"/>
      <c r="P844" s="60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</row>
    <row r="845" spans="1:27" ht="16.5">
      <c r="A845" s="57"/>
      <c r="B845" s="61">
        <v>840</v>
      </c>
      <c r="C845" s="146"/>
      <c r="D845" s="435"/>
      <c r="E845" s="436"/>
      <c r="F845" s="437"/>
      <c r="G845" s="438"/>
      <c r="H845" s="439"/>
      <c r="I845" s="440"/>
      <c r="J845" s="435"/>
      <c r="K845" s="436"/>
      <c r="L845" s="436"/>
      <c r="M845" s="441"/>
      <c r="N845" s="57"/>
      <c r="O845" s="57"/>
      <c r="P845" s="60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</row>
    <row r="846" spans="1:27" ht="16.5">
      <c r="A846" s="57"/>
      <c r="B846" s="61">
        <v>841</v>
      </c>
      <c r="C846" s="146"/>
      <c r="D846" s="435"/>
      <c r="E846" s="436"/>
      <c r="F846" s="437"/>
      <c r="G846" s="438"/>
      <c r="H846" s="439"/>
      <c r="I846" s="440"/>
      <c r="J846" s="435"/>
      <c r="K846" s="436"/>
      <c r="L846" s="436"/>
      <c r="M846" s="441"/>
      <c r="N846" s="57"/>
      <c r="O846" s="57"/>
      <c r="P846" s="60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</row>
    <row r="847" spans="1:27" ht="16.5">
      <c r="A847" s="57"/>
      <c r="B847" s="61">
        <v>842</v>
      </c>
      <c r="C847" s="146"/>
      <c r="D847" s="435"/>
      <c r="E847" s="436"/>
      <c r="F847" s="437"/>
      <c r="G847" s="438"/>
      <c r="H847" s="439"/>
      <c r="I847" s="440"/>
      <c r="J847" s="435"/>
      <c r="K847" s="436"/>
      <c r="L847" s="436"/>
      <c r="M847" s="441"/>
      <c r="N847" s="57"/>
      <c r="O847" s="57"/>
      <c r="P847" s="60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</row>
    <row r="848" spans="1:27" ht="16.5">
      <c r="A848" s="57"/>
      <c r="B848" s="61">
        <v>843</v>
      </c>
      <c r="C848" s="146"/>
      <c r="D848" s="435"/>
      <c r="E848" s="436"/>
      <c r="F848" s="437"/>
      <c r="G848" s="438"/>
      <c r="H848" s="439"/>
      <c r="I848" s="440"/>
      <c r="J848" s="435"/>
      <c r="K848" s="436"/>
      <c r="L848" s="436"/>
      <c r="M848" s="441"/>
      <c r="N848" s="57"/>
      <c r="O848" s="57"/>
      <c r="P848" s="60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</row>
    <row r="849" spans="1:27" ht="16.5">
      <c r="A849" s="57"/>
      <c r="B849" s="61">
        <v>844</v>
      </c>
      <c r="C849" s="146"/>
      <c r="D849" s="435"/>
      <c r="E849" s="436"/>
      <c r="F849" s="437"/>
      <c r="G849" s="438"/>
      <c r="H849" s="439"/>
      <c r="I849" s="440"/>
      <c r="J849" s="435"/>
      <c r="K849" s="436"/>
      <c r="L849" s="436"/>
      <c r="M849" s="441"/>
      <c r="N849" s="57"/>
      <c r="O849" s="57"/>
      <c r="P849" s="60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</row>
    <row r="850" spans="1:27" ht="16.5">
      <c r="A850" s="57"/>
      <c r="B850" s="61">
        <v>845</v>
      </c>
      <c r="C850" s="146"/>
      <c r="D850" s="435"/>
      <c r="E850" s="436"/>
      <c r="F850" s="437"/>
      <c r="G850" s="438"/>
      <c r="H850" s="439"/>
      <c r="I850" s="440"/>
      <c r="J850" s="435"/>
      <c r="K850" s="436"/>
      <c r="L850" s="436"/>
      <c r="M850" s="441"/>
      <c r="N850" s="57"/>
      <c r="O850" s="57"/>
      <c r="P850" s="60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</row>
    <row r="851" spans="1:27" ht="16.5">
      <c r="A851" s="57"/>
      <c r="B851" s="61">
        <v>846</v>
      </c>
      <c r="C851" s="146"/>
      <c r="D851" s="435"/>
      <c r="E851" s="436"/>
      <c r="F851" s="437"/>
      <c r="G851" s="438"/>
      <c r="H851" s="439"/>
      <c r="I851" s="440"/>
      <c r="J851" s="435"/>
      <c r="K851" s="436"/>
      <c r="L851" s="436"/>
      <c r="M851" s="441"/>
      <c r="N851" s="57"/>
      <c r="O851" s="57"/>
      <c r="P851" s="60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</row>
    <row r="852" spans="1:27" ht="16.5">
      <c r="A852" s="57"/>
      <c r="B852" s="61">
        <v>847</v>
      </c>
      <c r="C852" s="146"/>
      <c r="D852" s="435"/>
      <c r="E852" s="436"/>
      <c r="F852" s="437"/>
      <c r="G852" s="438"/>
      <c r="H852" s="439"/>
      <c r="I852" s="440"/>
      <c r="J852" s="435"/>
      <c r="K852" s="436"/>
      <c r="L852" s="436"/>
      <c r="M852" s="441"/>
      <c r="N852" s="57"/>
      <c r="O852" s="57"/>
      <c r="P852" s="60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</row>
    <row r="853" spans="1:27" ht="16.5">
      <c r="A853" s="57"/>
      <c r="B853" s="61">
        <v>848</v>
      </c>
      <c r="C853" s="146"/>
      <c r="D853" s="435"/>
      <c r="E853" s="436"/>
      <c r="F853" s="437"/>
      <c r="G853" s="438"/>
      <c r="H853" s="439"/>
      <c r="I853" s="440"/>
      <c r="J853" s="435"/>
      <c r="K853" s="436"/>
      <c r="L853" s="436"/>
      <c r="M853" s="441"/>
      <c r="N853" s="57"/>
      <c r="O853" s="57"/>
      <c r="P853" s="60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</row>
    <row r="854" spans="1:27" ht="16.5">
      <c r="A854" s="57"/>
      <c r="B854" s="61">
        <v>849</v>
      </c>
      <c r="C854" s="146"/>
      <c r="D854" s="435"/>
      <c r="E854" s="436"/>
      <c r="F854" s="437"/>
      <c r="G854" s="438"/>
      <c r="H854" s="439"/>
      <c r="I854" s="440"/>
      <c r="J854" s="435"/>
      <c r="K854" s="436"/>
      <c r="L854" s="436"/>
      <c r="M854" s="441"/>
      <c r="N854" s="57"/>
      <c r="O854" s="57"/>
      <c r="P854" s="60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</row>
    <row r="855" spans="1:27" ht="16.5">
      <c r="A855" s="57"/>
      <c r="B855" s="61">
        <v>850</v>
      </c>
      <c r="C855" s="146"/>
      <c r="D855" s="435"/>
      <c r="E855" s="436"/>
      <c r="F855" s="437"/>
      <c r="G855" s="438"/>
      <c r="H855" s="439"/>
      <c r="I855" s="440"/>
      <c r="J855" s="435"/>
      <c r="K855" s="436"/>
      <c r="L855" s="436"/>
      <c r="M855" s="441"/>
      <c r="N855" s="57"/>
      <c r="O855" s="57"/>
      <c r="P855" s="60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</row>
    <row r="856" spans="1:27" ht="16.5">
      <c r="A856" s="57"/>
      <c r="B856" s="61">
        <v>851</v>
      </c>
      <c r="C856" s="146"/>
      <c r="D856" s="435"/>
      <c r="E856" s="436"/>
      <c r="F856" s="437"/>
      <c r="G856" s="438"/>
      <c r="H856" s="439"/>
      <c r="I856" s="440"/>
      <c r="J856" s="435"/>
      <c r="K856" s="436"/>
      <c r="L856" s="436"/>
      <c r="M856" s="441"/>
      <c r="N856" s="57"/>
      <c r="O856" s="57"/>
      <c r="P856" s="60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</row>
    <row r="857" spans="1:27" ht="16.5">
      <c r="A857" s="57"/>
      <c r="B857" s="61">
        <v>852</v>
      </c>
      <c r="C857" s="146"/>
      <c r="D857" s="435"/>
      <c r="E857" s="436"/>
      <c r="F857" s="437"/>
      <c r="G857" s="438"/>
      <c r="H857" s="439"/>
      <c r="I857" s="440"/>
      <c r="J857" s="435"/>
      <c r="K857" s="436"/>
      <c r="L857" s="436"/>
      <c r="M857" s="441"/>
      <c r="N857" s="57"/>
      <c r="O857" s="57"/>
      <c r="P857" s="60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</row>
    <row r="858" spans="1:27" ht="16.5">
      <c r="A858" s="57"/>
      <c r="B858" s="61">
        <v>853</v>
      </c>
      <c r="C858" s="146"/>
      <c r="D858" s="435"/>
      <c r="E858" s="436"/>
      <c r="F858" s="437"/>
      <c r="G858" s="438"/>
      <c r="H858" s="439"/>
      <c r="I858" s="440"/>
      <c r="J858" s="435"/>
      <c r="K858" s="436"/>
      <c r="L858" s="436"/>
      <c r="M858" s="441"/>
      <c r="N858" s="57"/>
      <c r="O858" s="57"/>
      <c r="P858" s="60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</row>
    <row r="859" spans="1:27" ht="16.5">
      <c r="A859" s="57"/>
      <c r="B859" s="61">
        <v>854</v>
      </c>
      <c r="C859" s="146"/>
      <c r="D859" s="435"/>
      <c r="E859" s="436"/>
      <c r="F859" s="437"/>
      <c r="G859" s="438"/>
      <c r="H859" s="439"/>
      <c r="I859" s="440"/>
      <c r="J859" s="435"/>
      <c r="K859" s="436"/>
      <c r="L859" s="436"/>
      <c r="M859" s="441"/>
      <c r="N859" s="57"/>
      <c r="O859" s="57"/>
      <c r="P859" s="60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</row>
    <row r="860" spans="1:27" ht="16.5">
      <c r="A860" s="57"/>
      <c r="B860" s="61">
        <v>855</v>
      </c>
      <c r="C860" s="146"/>
      <c r="D860" s="435"/>
      <c r="E860" s="436"/>
      <c r="F860" s="437"/>
      <c r="G860" s="438"/>
      <c r="H860" s="439"/>
      <c r="I860" s="440"/>
      <c r="J860" s="435"/>
      <c r="K860" s="436"/>
      <c r="L860" s="436"/>
      <c r="M860" s="441"/>
      <c r="N860" s="57"/>
      <c r="O860" s="57"/>
      <c r="P860" s="60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</row>
    <row r="861" spans="1:27" ht="16.5">
      <c r="A861" s="57"/>
      <c r="B861" s="61">
        <v>856</v>
      </c>
      <c r="C861" s="146"/>
      <c r="D861" s="435"/>
      <c r="E861" s="436"/>
      <c r="F861" s="437"/>
      <c r="G861" s="438"/>
      <c r="H861" s="439"/>
      <c r="I861" s="440"/>
      <c r="J861" s="435"/>
      <c r="K861" s="436"/>
      <c r="L861" s="436"/>
      <c r="M861" s="441"/>
      <c r="N861" s="57"/>
      <c r="O861" s="57"/>
      <c r="P861" s="60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</row>
    <row r="862" spans="1:27" ht="16.5">
      <c r="A862" s="57"/>
      <c r="B862" s="61">
        <v>857</v>
      </c>
      <c r="C862" s="146"/>
      <c r="D862" s="435"/>
      <c r="E862" s="436"/>
      <c r="F862" s="437"/>
      <c r="G862" s="438"/>
      <c r="H862" s="439"/>
      <c r="I862" s="440"/>
      <c r="J862" s="435"/>
      <c r="K862" s="436"/>
      <c r="L862" s="436"/>
      <c r="M862" s="441"/>
      <c r="N862" s="57"/>
      <c r="O862" s="57"/>
      <c r="P862" s="60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</row>
    <row r="863" spans="1:27" ht="16.5">
      <c r="A863" s="57"/>
      <c r="B863" s="61">
        <v>858</v>
      </c>
      <c r="C863" s="146"/>
      <c r="D863" s="435"/>
      <c r="E863" s="436"/>
      <c r="F863" s="437"/>
      <c r="G863" s="438"/>
      <c r="H863" s="439"/>
      <c r="I863" s="440"/>
      <c r="J863" s="435"/>
      <c r="K863" s="436"/>
      <c r="L863" s="436"/>
      <c r="M863" s="441"/>
      <c r="N863" s="57"/>
      <c r="O863" s="57"/>
      <c r="P863" s="60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</row>
    <row r="864" spans="1:27" ht="16.5">
      <c r="A864" s="57"/>
      <c r="B864" s="61">
        <v>859</v>
      </c>
      <c r="C864" s="146"/>
      <c r="D864" s="435"/>
      <c r="E864" s="436"/>
      <c r="F864" s="437"/>
      <c r="G864" s="438"/>
      <c r="H864" s="439"/>
      <c r="I864" s="440"/>
      <c r="J864" s="435"/>
      <c r="K864" s="436"/>
      <c r="L864" s="436"/>
      <c r="M864" s="441"/>
      <c r="N864" s="57"/>
      <c r="O864" s="57"/>
      <c r="P864" s="60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</row>
    <row r="865" spans="1:27" ht="16.5">
      <c r="A865" s="57"/>
      <c r="B865" s="61">
        <v>860</v>
      </c>
      <c r="C865" s="146"/>
      <c r="D865" s="435"/>
      <c r="E865" s="436"/>
      <c r="F865" s="437"/>
      <c r="G865" s="438"/>
      <c r="H865" s="439"/>
      <c r="I865" s="440"/>
      <c r="J865" s="435"/>
      <c r="K865" s="436"/>
      <c r="L865" s="436"/>
      <c r="M865" s="441"/>
      <c r="N865" s="57"/>
      <c r="O865" s="57"/>
      <c r="P865" s="60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</row>
    <row r="866" spans="1:27" ht="16.5">
      <c r="A866" s="57"/>
      <c r="B866" s="61">
        <v>861</v>
      </c>
      <c r="C866" s="146"/>
      <c r="D866" s="435"/>
      <c r="E866" s="436"/>
      <c r="F866" s="437"/>
      <c r="G866" s="438"/>
      <c r="H866" s="439"/>
      <c r="I866" s="440"/>
      <c r="J866" s="435"/>
      <c r="K866" s="436"/>
      <c r="L866" s="436"/>
      <c r="M866" s="441"/>
      <c r="N866" s="57"/>
      <c r="O866" s="57"/>
      <c r="P866" s="60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</row>
    <row r="867" spans="1:27" ht="16.5">
      <c r="A867" s="57"/>
      <c r="B867" s="61">
        <v>862</v>
      </c>
      <c r="C867" s="146"/>
      <c r="D867" s="435"/>
      <c r="E867" s="436"/>
      <c r="F867" s="437"/>
      <c r="G867" s="438"/>
      <c r="H867" s="439"/>
      <c r="I867" s="440"/>
      <c r="J867" s="435"/>
      <c r="K867" s="436"/>
      <c r="L867" s="436"/>
      <c r="M867" s="441"/>
      <c r="N867" s="57"/>
      <c r="O867" s="57"/>
      <c r="P867" s="60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</row>
    <row r="868" spans="1:27" ht="16.5">
      <c r="A868" s="57"/>
      <c r="B868" s="61">
        <v>863</v>
      </c>
      <c r="C868" s="146"/>
      <c r="D868" s="435"/>
      <c r="E868" s="436"/>
      <c r="F868" s="437"/>
      <c r="G868" s="438"/>
      <c r="H868" s="439"/>
      <c r="I868" s="440"/>
      <c r="J868" s="435"/>
      <c r="K868" s="436"/>
      <c r="L868" s="436"/>
      <c r="M868" s="441"/>
      <c r="N868" s="57"/>
      <c r="O868" s="57"/>
      <c r="P868" s="60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</row>
    <row r="869" spans="1:27" ht="16.5">
      <c r="A869" s="57"/>
      <c r="B869" s="61">
        <v>864</v>
      </c>
      <c r="C869" s="146"/>
      <c r="D869" s="435"/>
      <c r="E869" s="436"/>
      <c r="F869" s="437"/>
      <c r="G869" s="438"/>
      <c r="H869" s="439"/>
      <c r="I869" s="440"/>
      <c r="J869" s="435"/>
      <c r="K869" s="436"/>
      <c r="L869" s="436"/>
      <c r="M869" s="441"/>
      <c r="N869" s="57"/>
      <c r="O869" s="57"/>
      <c r="P869" s="60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</row>
    <row r="870" spans="1:27" ht="16.5">
      <c r="A870" s="57"/>
      <c r="B870" s="61">
        <v>865</v>
      </c>
      <c r="C870" s="146"/>
      <c r="D870" s="435"/>
      <c r="E870" s="436"/>
      <c r="F870" s="437"/>
      <c r="G870" s="438"/>
      <c r="H870" s="439"/>
      <c r="I870" s="440"/>
      <c r="J870" s="435"/>
      <c r="K870" s="436"/>
      <c r="L870" s="436"/>
      <c r="M870" s="441"/>
      <c r="N870" s="57"/>
      <c r="O870" s="57"/>
      <c r="P870" s="60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</row>
    <row r="871" spans="1:27" ht="16.5">
      <c r="A871" s="57"/>
      <c r="B871" s="61">
        <v>866</v>
      </c>
      <c r="C871" s="146"/>
      <c r="D871" s="435"/>
      <c r="E871" s="436"/>
      <c r="F871" s="437"/>
      <c r="G871" s="438"/>
      <c r="H871" s="439"/>
      <c r="I871" s="440"/>
      <c r="J871" s="435"/>
      <c r="K871" s="436"/>
      <c r="L871" s="436"/>
      <c r="M871" s="441"/>
      <c r="N871" s="57"/>
      <c r="O871" s="57"/>
      <c r="P871" s="60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</row>
    <row r="872" spans="1:27" ht="16.5">
      <c r="A872" s="57"/>
      <c r="B872" s="61">
        <v>867</v>
      </c>
      <c r="C872" s="146"/>
      <c r="D872" s="435"/>
      <c r="E872" s="436"/>
      <c r="F872" s="437"/>
      <c r="G872" s="438"/>
      <c r="H872" s="439"/>
      <c r="I872" s="440"/>
      <c r="J872" s="435"/>
      <c r="K872" s="436"/>
      <c r="L872" s="436"/>
      <c r="M872" s="441"/>
      <c r="N872" s="57"/>
      <c r="O872" s="57"/>
      <c r="P872" s="60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</row>
    <row r="873" spans="1:27" ht="16.5">
      <c r="A873" s="57"/>
      <c r="B873" s="61">
        <v>868</v>
      </c>
      <c r="C873" s="146"/>
      <c r="D873" s="435"/>
      <c r="E873" s="436"/>
      <c r="F873" s="437"/>
      <c r="G873" s="438"/>
      <c r="H873" s="439"/>
      <c r="I873" s="440"/>
      <c r="J873" s="435"/>
      <c r="K873" s="436"/>
      <c r="L873" s="436"/>
      <c r="M873" s="441"/>
      <c r="N873" s="57"/>
      <c r="O873" s="57"/>
      <c r="P873" s="60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</row>
    <row r="874" spans="1:27" ht="16.5">
      <c r="A874" s="57"/>
      <c r="B874" s="61">
        <v>869</v>
      </c>
      <c r="C874" s="146"/>
      <c r="D874" s="435"/>
      <c r="E874" s="436"/>
      <c r="F874" s="437"/>
      <c r="G874" s="438"/>
      <c r="H874" s="439"/>
      <c r="I874" s="440"/>
      <c r="J874" s="435"/>
      <c r="K874" s="436"/>
      <c r="L874" s="436"/>
      <c r="M874" s="441"/>
      <c r="N874" s="57"/>
      <c r="O874" s="57"/>
      <c r="P874" s="60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</row>
    <row r="875" spans="1:27" ht="16.5">
      <c r="A875" s="57"/>
      <c r="B875" s="61">
        <v>870</v>
      </c>
      <c r="C875" s="146"/>
      <c r="D875" s="435"/>
      <c r="E875" s="436"/>
      <c r="F875" s="437"/>
      <c r="G875" s="438"/>
      <c r="H875" s="439"/>
      <c r="I875" s="440"/>
      <c r="J875" s="435"/>
      <c r="K875" s="436"/>
      <c r="L875" s="436"/>
      <c r="M875" s="441"/>
      <c r="N875" s="57"/>
      <c r="O875" s="57"/>
      <c r="P875" s="60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</row>
    <row r="876" spans="1:27" ht="16.5">
      <c r="A876" s="57"/>
      <c r="B876" s="61">
        <v>871</v>
      </c>
      <c r="C876" s="146"/>
      <c r="D876" s="435"/>
      <c r="E876" s="436"/>
      <c r="F876" s="437"/>
      <c r="G876" s="438"/>
      <c r="H876" s="439"/>
      <c r="I876" s="440"/>
      <c r="J876" s="435"/>
      <c r="K876" s="436"/>
      <c r="L876" s="436"/>
      <c r="M876" s="441"/>
      <c r="N876" s="57"/>
      <c r="O876" s="57"/>
      <c r="P876" s="60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</row>
    <row r="877" spans="1:27" ht="16.5">
      <c r="A877" s="57"/>
      <c r="B877" s="61">
        <v>872</v>
      </c>
      <c r="C877" s="146"/>
      <c r="D877" s="435"/>
      <c r="E877" s="436"/>
      <c r="F877" s="437"/>
      <c r="G877" s="438"/>
      <c r="H877" s="439"/>
      <c r="I877" s="440"/>
      <c r="J877" s="435"/>
      <c r="K877" s="436"/>
      <c r="L877" s="436"/>
      <c r="M877" s="441"/>
      <c r="N877" s="57"/>
      <c r="O877" s="57"/>
      <c r="P877" s="60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</row>
    <row r="878" spans="1:27" ht="16.5">
      <c r="A878" s="57"/>
      <c r="B878" s="61">
        <v>873</v>
      </c>
      <c r="C878" s="146"/>
      <c r="D878" s="435"/>
      <c r="E878" s="436"/>
      <c r="F878" s="437"/>
      <c r="G878" s="438"/>
      <c r="H878" s="439"/>
      <c r="I878" s="440"/>
      <c r="J878" s="435"/>
      <c r="K878" s="436"/>
      <c r="L878" s="436"/>
      <c r="M878" s="441"/>
      <c r="N878" s="57"/>
      <c r="O878" s="57"/>
      <c r="P878" s="60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</row>
    <row r="879" spans="1:27" ht="16.5">
      <c r="A879" s="57"/>
      <c r="B879" s="61">
        <v>874</v>
      </c>
      <c r="C879" s="146"/>
      <c r="D879" s="435"/>
      <c r="E879" s="436"/>
      <c r="F879" s="437"/>
      <c r="G879" s="438"/>
      <c r="H879" s="439"/>
      <c r="I879" s="440"/>
      <c r="J879" s="435"/>
      <c r="K879" s="436"/>
      <c r="L879" s="436"/>
      <c r="M879" s="441"/>
      <c r="N879" s="57"/>
      <c r="O879" s="57"/>
      <c r="P879" s="60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</row>
    <row r="880" spans="1:27" ht="16.5">
      <c r="A880" s="57"/>
      <c r="B880" s="61">
        <v>875</v>
      </c>
      <c r="C880" s="146"/>
      <c r="D880" s="435"/>
      <c r="E880" s="436"/>
      <c r="F880" s="437"/>
      <c r="G880" s="438"/>
      <c r="H880" s="439"/>
      <c r="I880" s="440"/>
      <c r="J880" s="435"/>
      <c r="K880" s="436"/>
      <c r="L880" s="436"/>
      <c r="M880" s="441"/>
      <c r="N880" s="57"/>
      <c r="O880" s="57"/>
      <c r="P880" s="60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</row>
    <row r="881" spans="1:27" ht="16.5">
      <c r="A881" s="57"/>
      <c r="B881" s="61">
        <v>876</v>
      </c>
      <c r="C881" s="146"/>
      <c r="D881" s="435"/>
      <c r="E881" s="436"/>
      <c r="F881" s="437"/>
      <c r="G881" s="438"/>
      <c r="H881" s="439"/>
      <c r="I881" s="440"/>
      <c r="J881" s="435"/>
      <c r="K881" s="436"/>
      <c r="L881" s="436"/>
      <c r="M881" s="441"/>
      <c r="N881" s="57"/>
      <c r="O881" s="57"/>
      <c r="P881" s="60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</row>
    <row r="882" spans="1:27" ht="16.5">
      <c r="A882" s="57"/>
      <c r="B882" s="61">
        <v>877</v>
      </c>
      <c r="C882" s="146"/>
      <c r="D882" s="435"/>
      <c r="E882" s="436"/>
      <c r="F882" s="437"/>
      <c r="G882" s="438"/>
      <c r="H882" s="439"/>
      <c r="I882" s="440"/>
      <c r="J882" s="435"/>
      <c r="K882" s="436"/>
      <c r="L882" s="436"/>
      <c r="M882" s="441"/>
      <c r="N882" s="57"/>
      <c r="O882" s="57"/>
      <c r="P882" s="60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</row>
    <row r="883" spans="1:27" ht="16.5">
      <c r="A883" s="57"/>
      <c r="B883" s="61">
        <v>878</v>
      </c>
      <c r="C883" s="146"/>
      <c r="D883" s="435"/>
      <c r="E883" s="436"/>
      <c r="F883" s="437"/>
      <c r="G883" s="438"/>
      <c r="H883" s="439"/>
      <c r="I883" s="440"/>
      <c r="J883" s="435"/>
      <c r="K883" s="436"/>
      <c r="L883" s="436"/>
      <c r="M883" s="441"/>
      <c r="N883" s="57"/>
      <c r="O883" s="57"/>
      <c r="P883" s="60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</row>
    <row r="884" spans="1:27" ht="16.5">
      <c r="A884" s="57"/>
      <c r="B884" s="61">
        <v>879</v>
      </c>
      <c r="C884" s="146"/>
      <c r="D884" s="435"/>
      <c r="E884" s="436"/>
      <c r="F884" s="437"/>
      <c r="G884" s="438"/>
      <c r="H884" s="439"/>
      <c r="I884" s="440"/>
      <c r="J884" s="435"/>
      <c r="K884" s="436"/>
      <c r="L884" s="436"/>
      <c r="M884" s="441"/>
      <c r="N884" s="57"/>
      <c r="O884" s="57"/>
      <c r="P884" s="60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</row>
    <row r="885" spans="1:27" ht="16.5">
      <c r="A885" s="57"/>
      <c r="B885" s="61">
        <v>880</v>
      </c>
      <c r="C885" s="146"/>
      <c r="D885" s="435"/>
      <c r="E885" s="436"/>
      <c r="F885" s="437"/>
      <c r="G885" s="438"/>
      <c r="H885" s="439"/>
      <c r="I885" s="440"/>
      <c r="J885" s="435"/>
      <c r="K885" s="436"/>
      <c r="L885" s="436"/>
      <c r="M885" s="441"/>
      <c r="N885" s="57"/>
      <c r="O885" s="57"/>
      <c r="P885" s="60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</row>
    <row r="886" spans="1:27" ht="16.5">
      <c r="A886" s="57"/>
      <c r="B886" s="61">
        <v>881</v>
      </c>
      <c r="C886" s="146"/>
      <c r="D886" s="435"/>
      <c r="E886" s="436"/>
      <c r="F886" s="437"/>
      <c r="G886" s="438"/>
      <c r="H886" s="439"/>
      <c r="I886" s="440"/>
      <c r="J886" s="435"/>
      <c r="K886" s="436"/>
      <c r="L886" s="436"/>
      <c r="M886" s="441"/>
      <c r="N886" s="57"/>
      <c r="O886" s="57"/>
      <c r="P886" s="60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</row>
    <row r="887" spans="1:27" ht="16.5">
      <c r="A887" s="57"/>
      <c r="B887" s="61">
        <v>882</v>
      </c>
      <c r="C887" s="146"/>
      <c r="D887" s="435"/>
      <c r="E887" s="436"/>
      <c r="F887" s="437"/>
      <c r="G887" s="438"/>
      <c r="H887" s="439"/>
      <c r="I887" s="440"/>
      <c r="J887" s="435"/>
      <c r="K887" s="436"/>
      <c r="L887" s="436"/>
      <c r="M887" s="441"/>
      <c r="N887" s="57"/>
      <c r="O887" s="57"/>
      <c r="P887" s="60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</row>
    <row r="888" spans="1:27" ht="16.5">
      <c r="A888" s="57"/>
      <c r="B888" s="61">
        <v>883</v>
      </c>
      <c r="C888" s="146"/>
      <c r="D888" s="435"/>
      <c r="E888" s="436"/>
      <c r="F888" s="437"/>
      <c r="G888" s="438"/>
      <c r="H888" s="439"/>
      <c r="I888" s="440"/>
      <c r="J888" s="435"/>
      <c r="K888" s="436"/>
      <c r="L888" s="436"/>
      <c r="M888" s="441"/>
      <c r="N888" s="57"/>
      <c r="O888" s="57"/>
      <c r="P888" s="60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</row>
    <row r="889" spans="1:27" ht="16.5">
      <c r="A889" s="57"/>
      <c r="B889" s="61">
        <v>884</v>
      </c>
      <c r="C889" s="146"/>
      <c r="D889" s="435"/>
      <c r="E889" s="436"/>
      <c r="F889" s="437"/>
      <c r="G889" s="438"/>
      <c r="H889" s="439"/>
      <c r="I889" s="440"/>
      <c r="J889" s="435"/>
      <c r="K889" s="436"/>
      <c r="L889" s="436"/>
      <c r="M889" s="441"/>
      <c r="N889" s="57"/>
      <c r="O889" s="57"/>
      <c r="P889" s="60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</row>
    <row r="890" spans="1:27" ht="16.5">
      <c r="A890" s="57"/>
      <c r="B890" s="61">
        <v>885</v>
      </c>
      <c r="C890" s="146"/>
      <c r="D890" s="435"/>
      <c r="E890" s="436"/>
      <c r="F890" s="437"/>
      <c r="G890" s="438"/>
      <c r="H890" s="439"/>
      <c r="I890" s="440"/>
      <c r="J890" s="435"/>
      <c r="K890" s="436"/>
      <c r="L890" s="436"/>
      <c r="M890" s="441"/>
      <c r="N890" s="57"/>
      <c r="O890" s="57"/>
      <c r="P890" s="60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</row>
    <row r="891" spans="1:27" ht="16.5">
      <c r="A891" s="57"/>
      <c r="B891" s="61">
        <v>886</v>
      </c>
      <c r="C891" s="146"/>
      <c r="D891" s="435"/>
      <c r="E891" s="436"/>
      <c r="F891" s="437"/>
      <c r="G891" s="438"/>
      <c r="H891" s="439"/>
      <c r="I891" s="440"/>
      <c r="J891" s="435"/>
      <c r="K891" s="436"/>
      <c r="L891" s="436"/>
      <c r="M891" s="441"/>
      <c r="N891" s="57"/>
      <c r="O891" s="57"/>
      <c r="P891" s="60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</row>
    <row r="892" spans="1:27" ht="16.5">
      <c r="A892" s="57"/>
      <c r="B892" s="61">
        <v>887</v>
      </c>
      <c r="C892" s="146"/>
      <c r="D892" s="435"/>
      <c r="E892" s="436"/>
      <c r="F892" s="437"/>
      <c r="G892" s="438"/>
      <c r="H892" s="439"/>
      <c r="I892" s="440"/>
      <c r="J892" s="435"/>
      <c r="K892" s="436"/>
      <c r="L892" s="436"/>
      <c r="M892" s="441"/>
      <c r="N892" s="57"/>
      <c r="O892" s="57"/>
      <c r="P892" s="60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</row>
    <row r="893" spans="1:27" ht="16.5">
      <c r="A893" s="57"/>
      <c r="B893" s="61">
        <v>888</v>
      </c>
      <c r="C893" s="146"/>
      <c r="D893" s="435"/>
      <c r="E893" s="436"/>
      <c r="F893" s="437"/>
      <c r="G893" s="438"/>
      <c r="H893" s="439"/>
      <c r="I893" s="440"/>
      <c r="J893" s="435"/>
      <c r="K893" s="436"/>
      <c r="L893" s="436"/>
      <c r="M893" s="441"/>
      <c r="N893" s="57"/>
      <c r="O893" s="57"/>
      <c r="P893" s="60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</row>
    <row r="894" spans="1:27" ht="16.5">
      <c r="A894" s="57"/>
      <c r="B894" s="61">
        <v>889</v>
      </c>
      <c r="C894" s="146"/>
      <c r="D894" s="435"/>
      <c r="E894" s="436"/>
      <c r="F894" s="437"/>
      <c r="G894" s="438"/>
      <c r="H894" s="439"/>
      <c r="I894" s="440"/>
      <c r="J894" s="435"/>
      <c r="K894" s="436"/>
      <c r="L894" s="436"/>
      <c r="M894" s="441"/>
      <c r="N894" s="57"/>
      <c r="O894" s="57"/>
      <c r="P894" s="60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</row>
    <row r="895" spans="1:27" ht="16.5">
      <c r="A895" s="57"/>
      <c r="B895" s="61">
        <v>890</v>
      </c>
      <c r="C895" s="146"/>
      <c r="D895" s="435"/>
      <c r="E895" s="436"/>
      <c r="F895" s="437"/>
      <c r="G895" s="438"/>
      <c r="H895" s="439"/>
      <c r="I895" s="440"/>
      <c r="J895" s="435"/>
      <c r="K895" s="436"/>
      <c r="L895" s="436"/>
      <c r="M895" s="441"/>
      <c r="N895" s="57"/>
      <c r="O895" s="57"/>
      <c r="P895" s="60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</row>
    <row r="896" spans="1:27" ht="16.5">
      <c r="A896" s="57"/>
      <c r="B896" s="61">
        <v>891</v>
      </c>
      <c r="C896" s="146"/>
      <c r="D896" s="435"/>
      <c r="E896" s="436"/>
      <c r="F896" s="437"/>
      <c r="G896" s="438"/>
      <c r="H896" s="439"/>
      <c r="I896" s="440"/>
      <c r="J896" s="435"/>
      <c r="K896" s="436"/>
      <c r="L896" s="436"/>
      <c r="M896" s="441"/>
      <c r="N896" s="57"/>
      <c r="O896" s="57"/>
      <c r="P896" s="60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</row>
    <row r="897" spans="1:27" ht="16.5">
      <c r="A897" s="57"/>
      <c r="B897" s="61">
        <v>892</v>
      </c>
      <c r="C897" s="146"/>
      <c r="D897" s="435"/>
      <c r="E897" s="436"/>
      <c r="F897" s="437"/>
      <c r="G897" s="438"/>
      <c r="H897" s="439"/>
      <c r="I897" s="440"/>
      <c r="J897" s="435"/>
      <c r="K897" s="436"/>
      <c r="L897" s="436"/>
      <c r="M897" s="441"/>
      <c r="N897" s="57"/>
      <c r="O897" s="57"/>
      <c r="P897" s="60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</row>
    <row r="898" spans="1:27" ht="16.5">
      <c r="A898" s="57"/>
      <c r="B898" s="61">
        <v>893</v>
      </c>
      <c r="C898" s="146"/>
      <c r="D898" s="435"/>
      <c r="E898" s="436"/>
      <c r="F898" s="437"/>
      <c r="G898" s="438"/>
      <c r="H898" s="439"/>
      <c r="I898" s="440"/>
      <c r="J898" s="435"/>
      <c r="K898" s="436"/>
      <c r="L898" s="436"/>
      <c r="M898" s="441"/>
      <c r="N898" s="57"/>
      <c r="O898" s="57"/>
      <c r="P898" s="60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</row>
    <row r="899" spans="1:27" ht="16.5">
      <c r="A899" s="57"/>
      <c r="B899" s="61">
        <v>894</v>
      </c>
      <c r="C899" s="146"/>
      <c r="D899" s="435"/>
      <c r="E899" s="436"/>
      <c r="F899" s="437"/>
      <c r="G899" s="438"/>
      <c r="H899" s="439"/>
      <c r="I899" s="440"/>
      <c r="J899" s="435"/>
      <c r="K899" s="436"/>
      <c r="L899" s="436"/>
      <c r="M899" s="441"/>
      <c r="N899" s="57"/>
      <c r="O899" s="57"/>
      <c r="P899" s="60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</row>
    <row r="900" spans="1:27" ht="16.5">
      <c r="A900" s="57"/>
      <c r="B900" s="61">
        <v>895</v>
      </c>
      <c r="C900" s="146"/>
      <c r="D900" s="435"/>
      <c r="E900" s="436"/>
      <c r="F900" s="437"/>
      <c r="G900" s="438"/>
      <c r="H900" s="439"/>
      <c r="I900" s="440"/>
      <c r="J900" s="435"/>
      <c r="K900" s="436"/>
      <c r="L900" s="436"/>
      <c r="M900" s="441"/>
      <c r="N900" s="57"/>
      <c r="O900" s="57"/>
      <c r="P900" s="60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</row>
    <row r="901" spans="1:27" ht="16.5">
      <c r="A901" s="57"/>
      <c r="B901" s="61">
        <v>896</v>
      </c>
      <c r="C901" s="146"/>
      <c r="D901" s="435"/>
      <c r="E901" s="436"/>
      <c r="F901" s="437"/>
      <c r="G901" s="438"/>
      <c r="H901" s="439"/>
      <c r="I901" s="440"/>
      <c r="J901" s="435"/>
      <c r="K901" s="436"/>
      <c r="L901" s="436"/>
      <c r="M901" s="441"/>
      <c r="N901" s="57"/>
      <c r="O901" s="57"/>
      <c r="P901" s="60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</row>
    <row r="902" spans="1:27" ht="16.5">
      <c r="A902" s="57"/>
      <c r="B902" s="61">
        <v>897</v>
      </c>
      <c r="C902" s="146"/>
      <c r="D902" s="435"/>
      <c r="E902" s="436"/>
      <c r="F902" s="437"/>
      <c r="G902" s="438"/>
      <c r="H902" s="439"/>
      <c r="I902" s="440"/>
      <c r="J902" s="435"/>
      <c r="K902" s="436"/>
      <c r="L902" s="436"/>
      <c r="M902" s="441"/>
      <c r="N902" s="57"/>
      <c r="O902" s="57"/>
      <c r="P902" s="60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</row>
    <row r="903" spans="1:27" ht="16.5">
      <c r="A903" s="57"/>
      <c r="B903" s="61">
        <v>898</v>
      </c>
      <c r="C903" s="146"/>
      <c r="D903" s="435"/>
      <c r="E903" s="436"/>
      <c r="F903" s="437"/>
      <c r="G903" s="438"/>
      <c r="H903" s="439"/>
      <c r="I903" s="440"/>
      <c r="J903" s="435"/>
      <c r="K903" s="436"/>
      <c r="L903" s="436"/>
      <c r="M903" s="441"/>
      <c r="N903" s="57"/>
      <c r="O903" s="57"/>
      <c r="P903" s="60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</row>
    <row r="904" spans="1:27" ht="16.5">
      <c r="A904" s="57"/>
      <c r="B904" s="61">
        <v>899</v>
      </c>
      <c r="C904" s="146"/>
      <c r="D904" s="435"/>
      <c r="E904" s="436"/>
      <c r="F904" s="437"/>
      <c r="G904" s="438"/>
      <c r="H904" s="439"/>
      <c r="I904" s="440"/>
      <c r="J904" s="435"/>
      <c r="K904" s="436"/>
      <c r="L904" s="436"/>
      <c r="M904" s="441"/>
      <c r="N904" s="57"/>
      <c r="O904" s="57"/>
      <c r="P904" s="60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</row>
    <row r="905" spans="1:27" ht="16.5">
      <c r="A905" s="57"/>
      <c r="B905" s="61">
        <v>900</v>
      </c>
      <c r="C905" s="146"/>
      <c r="D905" s="435"/>
      <c r="E905" s="436"/>
      <c r="F905" s="437"/>
      <c r="G905" s="438"/>
      <c r="H905" s="439"/>
      <c r="I905" s="440"/>
      <c r="J905" s="435"/>
      <c r="K905" s="436"/>
      <c r="L905" s="436"/>
      <c r="M905" s="441"/>
      <c r="N905" s="57"/>
      <c r="O905" s="57"/>
      <c r="P905" s="60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</row>
    <row r="906" spans="1:27" ht="16.5">
      <c r="A906" s="57"/>
      <c r="B906" s="61">
        <v>901</v>
      </c>
      <c r="C906" s="146"/>
      <c r="D906" s="435"/>
      <c r="E906" s="436"/>
      <c r="F906" s="437"/>
      <c r="G906" s="438"/>
      <c r="H906" s="439"/>
      <c r="I906" s="440"/>
      <c r="J906" s="435"/>
      <c r="K906" s="436"/>
      <c r="L906" s="436"/>
      <c r="M906" s="441"/>
      <c r="N906" s="57"/>
      <c r="O906" s="57"/>
      <c r="P906" s="60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</row>
    <row r="907" spans="1:27" ht="16.5">
      <c r="A907" s="57"/>
      <c r="B907" s="61">
        <v>902</v>
      </c>
      <c r="C907" s="146"/>
      <c r="D907" s="435"/>
      <c r="E907" s="436"/>
      <c r="F907" s="437"/>
      <c r="G907" s="438"/>
      <c r="H907" s="439"/>
      <c r="I907" s="440"/>
      <c r="J907" s="435"/>
      <c r="K907" s="436"/>
      <c r="L907" s="436"/>
      <c r="M907" s="441"/>
      <c r="N907" s="57"/>
      <c r="O907" s="57"/>
      <c r="P907" s="60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</row>
    <row r="908" spans="1:27" ht="16.5">
      <c r="A908" s="57"/>
      <c r="B908" s="61">
        <v>903</v>
      </c>
      <c r="C908" s="146"/>
      <c r="D908" s="435"/>
      <c r="E908" s="436"/>
      <c r="F908" s="437"/>
      <c r="G908" s="438"/>
      <c r="H908" s="439"/>
      <c r="I908" s="440"/>
      <c r="J908" s="435"/>
      <c r="K908" s="436"/>
      <c r="L908" s="436"/>
      <c r="M908" s="441"/>
      <c r="N908" s="57"/>
      <c r="O908" s="57"/>
      <c r="P908" s="60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</row>
    <row r="909" spans="1:27" ht="16.5">
      <c r="A909" s="57"/>
      <c r="B909" s="61">
        <v>904</v>
      </c>
      <c r="C909" s="146"/>
      <c r="D909" s="435"/>
      <c r="E909" s="436"/>
      <c r="F909" s="437"/>
      <c r="G909" s="438"/>
      <c r="H909" s="439"/>
      <c r="I909" s="440"/>
      <c r="J909" s="435"/>
      <c r="K909" s="436"/>
      <c r="L909" s="436"/>
      <c r="M909" s="441"/>
      <c r="N909" s="57"/>
      <c r="O909" s="57"/>
      <c r="P909" s="60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</row>
    <row r="910" spans="1:27" ht="16.5">
      <c r="A910" s="57"/>
      <c r="B910" s="61">
        <v>905</v>
      </c>
      <c r="C910" s="146"/>
      <c r="D910" s="435"/>
      <c r="E910" s="436"/>
      <c r="F910" s="437"/>
      <c r="G910" s="438"/>
      <c r="H910" s="439"/>
      <c r="I910" s="440"/>
      <c r="J910" s="435"/>
      <c r="K910" s="436"/>
      <c r="L910" s="436"/>
      <c r="M910" s="441"/>
      <c r="N910" s="57"/>
      <c r="O910" s="57"/>
      <c r="P910" s="60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</row>
    <row r="911" spans="1:27" ht="16.5">
      <c r="A911" s="57"/>
      <c r="B911" s="61">
        <v>906</v>
      </c>
      <c r="C911" s="146"/>
      <c r="D911" s="435"/>
      <c r="E911" s="436"/>
      <c r="F911" s="437"/>
      <c r="G911" s="438"/>
      <c r="H911" s="439"/>
      <c r="I911" s="440"/>
      <c r="J911" s="435"/>
      <c r="K911" s="436"/>
      <c r="L911" s="436"/>
      <c r="M911" s="441"/>
      <c r="N911" s="57"/>
      <c r="O911" s="57"/>
      <c r="P911" s="60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</row>
    <row r="912" spans="1:27" ht="16.5">
      <c r="A912" s="57"/>
      <c r="B912" s="61">
        <v>907</v>
      </c>
      <c r="C912" s="146"/>
      <c r="D912" s="435"/>
      <c r="E912" s="436"/>
      <c r="F912" s="437"/>
      <c r="G912" s="438"/>
      <c r="H912" s="439"/>
      <c r="I912" s="440"/>
      <c r="J912" s="435"/>
      <c r="K912" s="436"/>
      <c r="L912" s="436"/>
      <c r="M912" s="441"/>
      <c r="N912" s="57"/>
      <c r="O912" s="57"/>
      <c r="P912" s="60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</row>
    <row r="913" spans="1:27" ht="16.5">
      <c r="A913" s="57"/>
      <c r="B913" s="61">
        <v>908</v>
      </c>
      <c r="C913" s="146"/>
      <c r="D913" s="435"/>
      <c r="E913" s="436"/>
      <c r="F913" s="437"/>
      <c r="G913" s="438"/>
      <c r="H913" s="439"/>
      <c r="I913" s="440"/>
      <c r="J913" s="435"/>
      <c r="K913" s="436"/>
      <c r="L913" s="436"/>
      <c r="M913" s="441"/>
      <c r="N913" s="57"/>
      <c r="O913" s="57"/>
      <c r="P913" s="60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</row>
    <row r="914" spans="1:27" ht="16.5">
      <c r="A914" s="57"/>
      <c r="B914" s="61">
        <v>909</v>
      </c>
      <c r="C914" s="146"/>
      <c r="D914" s="435"/>
      <c r="E914" s="436"/>
      <c r="F914" s="437"/>
      <c r="G914" s="438"/>
      <c r="H914" s="439"/>
      <c r="I914" s="440"/>
      <c r="J914" s="435"/>
      <c r="K914" s="436"/>
      <c r="L914" s="436"/>
      <c r="M914" s="441"/>
      <c r="N914" s="57"/>
      <c r="O914" s="57"/>
      <c r="P914" s="60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</row>
    <row r="915" spans="1:27" ht="16.5">
      <c r="A915" s="57"/>
      <c r="B915" s="61">
        <v>910</v>
      </c>
      <c r="C915" s="146"/>
      <c r="D915" s="435"/>
      <c r="E915" s="436"/>
      <c r="F915" s="437"/>
      <c r="G915" s="438"/>
      <c r="H915" s="439"/>
      <c r="I915" s="440"/>
      <c r="J915" s="435"/>
      <c r="K915" s="436"/>
      <c r="L915" s="436"/>
      <c r="M915" s="441"/>
      <c r="N915" s="57"/>
      <c r="O915" s="57"/>
      <c r="P915" s="60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</row>
    <row r="916" spans="1:27" ht="16.5">
      <c r="A916" s="57"/>
      <c r="B916" s="61">
        <v>911</v>
      </c>
      <c r="C916" s="146"/>
      <c r="D916" s="435"/>
      <c r="E916" s="436"/>
      <c r="F916" s="437"/>
      <c r="G916" s="438"/>
      <c r="H916" s="439"/>
      <c r="I916" s="440"/>
      <c r="J916" s="435"/>
      <c r="K916" s="436"/>
      <c r="L916" s="436"/>
      <c r="M916" s="441"/>
      <c r="N916" s="57"/>
      <c r="O916" s="57"/>
      <c r="P916" s="60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</row>
    <row r="917" spans="1:27" ht="16.5">
      <c r="A917" s="57"/>
      <c r="B917" s="61">
        <v>912</v>
      </c>
      <c r="C917" s="146"/>
      <c r="D917" s="435"/>
      <c r="E917" s="436"/>
      <c r="F917" s="437"/>
      <c r="G917" s="438"/>
      <c r="H917" s="439"/>
      <c r="I917" s="440"/>
      <c r="J917" s="435"/>
      <c r="K917" s="436"/>
      <c r="L917" s="436"/>
      <c r="M917" s="441"/>
      <c r="N917" s="57"/>
      <c r="O917" s="57"/>
      <c r="P917" s="60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</row>
    <row r="918" spans="1:27" ht="16.5">
      <c r="A918" s="57"/>
      <c r="B918" s="61">
        <v>913</v>
      </c>
      <c r="C918" s="146"/>
      <c r="D918" s="435"/>
      <c r="E918" s="436"/>
      <c r="F918" s="437"/>
      <c r="G918" s="438"/>
      <c r="H918" s="439"/>
      <c r="I918" s="440"/>
      <c r="J918" s="435"/>
      <c r="K918" s="436"/>
      <c r="L918" s="436"/>
      <c r="M918" s="441"/>
      <c r="N918" s="57"/>
      <c r="O918" s="57"/>
      <c r="P918" s="60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</row>
    <row r="919" spans="1:27" ht="16.5">
      <c r="A919" s="57"/>
      <c r="B919" s="61">
        <v>914</v>
      </c>
      <c r="C919" s="146"/>
      <c r="D919" s="435"/>
      <c r="E919" s="436"/>
      <c r="F919" s="437"/>
      <c r="G919" s="438"/>
      <c r="H919" s="439"/>
      <c r="I919" s="440"/>
      <c r="J919" s="435"/>
      <c r="K919" s="436"/>
      <c r="L919" s="436"/>
      <c r="M919" s="441"/>
      <c r="N919" s="57"/>
      <c r="O919" s="57"/>
      <c r="P919" s="60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</row>
    <row r="920" spans="1:27" ht="16.5">
      <c r="A920" s="57"/>
      <c r="B920" s="61">
        <v>915</v>
      </c>
      <c r="C920" s="146"/>
      <c r="D920" s="435"/>
      <c r="E920" s="436"/>
      <c r="F920" s="437"/>
      <c r="G920" s="438"/>
      <c r="H920" s="439"/>
      <c r="I920" s="440"/>
      <c r="J920" s="435"/>
      <c r="K920" s="436"/>
      <c r="L920" s="436"/>
      <c r="M920" s="441"/>
      <c r="N920" s="57"/>
      <c r="O920" s="57"/>
      <c r="P920" s="60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</row>
    <row r="921" spans="1:27" ht="16.5">
      <c r="A921" s="57"/>
      <c r="B921" s="61">
        <v>916</v>
      </c>
      <c r="C921" s="146"/>
      <c r="D921" s="435"/>
      <c r="E921" s="436"/>
      <c r="F921" s="437"/>
      <c r="G921" s="438"/>
      <c r="H921" s="439"/>
      <c r="I921" s="440"/>
      <c r="J921" s="435"/>
      <c r="K921" s="436"/>
      <c r="L921" s="436"/>
      <c r="M921" s="441"/>
      <c r="N921" s="57"/>
      <c r="O921" s="57"/>
      <c r="P921" s="60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</row>
    <row r="922" spans="1:27" ht="16.5">
      <c r="A922" s="57"/>
      <c r="B922" s="61">
        <v>917</v>
      </c>
      <c r="C922" s="146"/>
      <c r="D922" s="435"/>
      <c r="E922" s="436"/>
      <c r="F922" s="437"/>
      <c r="G922" s="438"/>
      <c r="H922" s="439"/>
      <c r="I922" s="440"/>
      <c r="J922" s="435"/>
      <c r="K922" s="436"/>
      <c r="L922" s="436"/>
      <c r="M922" s="441"/>
      <c r="N922" s="57"/>
      <c r="O922" s="57"/>
      <c r="P922" s="60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</row>
    <row r="923" spans="1:27" ht="16.5">
      <c r="A923" s="57"/>
      <c r="B923" s="61">
        <v>918</v>
      </c>
      <c r="C923" s="146"/>
      <c r="D923" s="435"/>
      <c r="E923" s="436"/>
      <c r="F923" s="437"/>
      <c r="G923" s="438"/>
      <c r="H923" s="439"/>
      <c r="I923" s="440"/>
      <c r="J923" s="435"/>
      <c r="K923" s="436"/>
      <c r="L923" s="436"/>
      <c r="M923" s="441"/>
      <c r="N923" s="57"/>
      <c r="O923" s="57"/>
      <c r="P923" s="60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</row>
    <row r="924" spans="1:27" ht="16.5">
      <c r="A924" s="57"/>
      <c r="B924" s="61">
        <v>919</v>
      </c>
      <c r="C924" s="146"/>
      <c r="D924" s="435"/>
      <c r="E924" s="436"/>
      <c r="F924" s="437"/>
      <c r="G924" s="438"/>
      <c r="H924" s="439"/>
      <c r="I924" s="440"/>
      <c r="J924" s="435"/>
      <c r="K924" s="436"/>
      <c r="L924" s="436"/>
      <c r="M924" s="441"/>
      <c r="N924" s="57"/>
      <c r="O924" s="57"/>
      <c r="P924" s="60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</row>
    <row r="925" spans="1:27" ht="16.5">
      <c r="A925" s="57"/>
      <c r="B925" s="61">
        <v>920</v>
      </c>
      <c r="C925" s="146"/>
      <c r="D925" s="435"/>
      <c r="E925" s="436"/>
      <c r="F925" s="437"/>
      <c r="G925" s="438"/>
      <c r="H925" s="439"/>
      <c r="I925" s="440"/>
      <c r="J925" s="435"/>
      <c r="K925" s="436"/>
      <c r="L925" s="436"/>
      <c r="M925" s="441"/>
      <c r="N925" s="57"/>
      <c r="O925" s="57"/>
      <c r="P925" s="60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</row>
    <row r="926" spans="1:27" ht="16.5">
      <c r="A926" s="57"/>
      <c r="B926" s="61">
        <v>921</v>
      </c>
      <c r="C926" s="146"/>
      <c r="D926" s="435"/>
      <c r="E926" s="436"/>
      <c r="F926" s="437"/>
      <c r="G926" s="438"/>
      <c r="H926" s="439"/>
      <c r="I926" s="440"/>
      <c r="J926" s="435"/>
      <c r="K926" s="436"/>
      <c r="L926" s="436"/>
      <c r="M926" s="441"/>
      <c r="N926" s="57"/>
      <c r="O926" s="57"/>
      <c r="P926" s="60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</row>
    <row r="927" spans="1:27" ht="16.5">
      <c r="A927" s="57"/>
      <c r="B927" s="61">
        <v>922</v>
      </c>
      <c r="C927" s="146"/>
      <c r="D927" s="435"/>
      <c r="E927" s="436"/>
      <c r="F927" s="437"/>
      <c r="G927" s="438"/>
      <c r="H927" s="439"/>
      <c r="I927" s="440"/>
      <c r="J927" s="435"/>
      <c r="K927" s="436"/>
      <c r="L927" s="436"/>
      <c r="M927" s="441"/>
      <c r="N927" s="57"/>
      <c r="O927" s="57"/>
      <c r="P927" s="60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</row>
    <row r="928" spans="1:27" ht="16.5">
      <c r="A928" s="57"/>
      <c r="B928" s="61">
        <v>923</v>
      </c>
      <c r="C928" s="146"/>
      <c r="D928" s="435"/>
      <c r="E928" s="436"/>
      <c r="F928" s="437"/>
      <c r="G928" s="438"/>
      <c r="H928" s="439"/>
      <c r="I928" s="440"/>
      <c r="J928" s="435"/>
      <c r="K928" s="436"/>
      <c r="L928" s="436"/>
      <c r="M928" s="441"/>
      <c r="N928" s="57"/>
      <c r="O928" s="57"/>
      <c r="P928" s="60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</row>
    <row r="929" spans="1:27" ht="16.5">
      <c r="A929" s="57"/>
      <c r="B929" s="61">
        <v>924</v>
      </c>
      <c r="C929" s="146"/>
      <c r="D929" s="435"/>
      <c r="E929" s="436"/>
      <c r="F929" s="437"/>
      <c r="G929" s="438"/>
      <c r="H929" s="439"/>
      <c r="I929" s="440"/>
      <c r="J929" s="435"/>
      <c r="K929" s="436"/>
      <c r="L929" s="436"/>
      <c r="M929" s="441"/>
      <c r="N929" s="57"/>
      <c r="O929" s="57"/>
      <c r="P929" s="60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</row>
    <row r="930" spans="1:27" ht="16.5">
      <c r="A930" s="57"/>
      <c r="B930" s="61">
        <v>925</v>
      </c>
      <c r="C930" s="146"/>
      <c r="D930" s="435"/>
      <c r="E930" s="436"/>
      <c r="F930" s="437"/>
      <c r="G930" s="438"/>
      <c r="H930" s="439"/>
      <c r="I930" s="440"/>
      <c r="J930" s="435"/>
      <c r="K930" s="436"/>
      <c r="L930" s="436"/>
      <c r="M930" s="441"/>
      <c r="N930" s="57"/>
      <c r="O930" s="57"/>
      <c r="P930" s="60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</row>
    <row r="931" spans="1:27" ht="16.5">
      <c r="A931" s="57"/>
      <c r="B931" s="61">
        <v>926</v>
      </c>
      <c r="C931" s="146"/>
      <c r="D931" s="435"/>
      <c r="E931" s="436"/>
      <c r="F931" s="437"/>
      <c r="G931" s="438"/>
      <c r="H931" s="439"/>
      <c r="I931" s="440"/>
      <c r="J931" s="435"/>
      <c r="K931" s="436"/>
      <c r="L931" s="436"/>
      <c r="M931" s="441"/>
      <c r="N931" s="57"/>
      <c r="O931" s="57"/>
      <c r="P931" s="60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</row>
    <row r="932" spans="1:27" ht="16.5">
      <c r="A932" s="57"/>
      <c r="B932" s="61">
        <v>927</v>
      </c>
      <c r="C932" s="146"/>
      <c r="D932" s="435"/>
      <c r="E932" s="436"/>
      <c r="F932" s="437"/>
      <c r="G932" s="438"/>
      <c r="H932" s="439"/>
      <c r="I932" s="440"/>
      <c r="J932" s="435"/>
      <c r="K932" s="436"/>
      <c r="L932" s="436"/>
      <c r="M932" s="441"/>
      <c r="N932" s="57"/>
      <c r="O932" s="57"/>
      <c r="P932" s="60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</row>
    <row r="933" spans="1:27" ht="16.5">
      <c r="A933" s="57"/>
      <c r="B933" s="61">
        <v>928</v>
      </c>
      <c r="C933" s="146"/>
      <c r="D933" s="435"/>
      <c r="E933" s="436"/>
      <c r="F933" s="437"/>
      <c r="G933" s="438"/>
      <c r="H933" s="439"/>
      <c r="I933" s="440"/>
      <c r="J933" s="435"/>
      <c r="K933" s="436"/>
      <c r="L933" s="436"/>
      <c r="M933" s="441"/>
      <c r="N933" s="57"/>
      <c r="O933" s="57"/>
      <c r="P933" s="60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</row>
    <row r="934" spans="1:27" ht="16.5">
      <c r="A934" s="57"/>
      <c r="B934" s="61">
        <v>929</v>
      </c>
      <c r="C934" s="146"/>
      <c r="D934" s="435"/>
      <c r="E934" s="436"/>
      <c r="F934" s="437"/>
      <c r="G934" s="438"/>
      <c r="H934" s="439"/>
      <c r="I934" s="440"/>
      <c r="J934" s="435"/>
      <c r="K934" s="436"/>
      <c r="L934" s="436"/>
      <c r="M934" s="441"/>
      <c r="N934" s="57"/>
      <c r="O934" s="57"/>
      <c r="P934" s="60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</row>
    <row r="935" spans="1:27" ht="16.5">
      <c r="A935" s="57"/>
      <c r="B935" s="61">
        <v>930</v>
      </c>
      <c r="C935" s="146"/>
      <c r="D935" s="435"/>
      <c r="E935" s="436"/>
      <c r="F935" s="437"/>
      <c r="G935" s="438"/>
      <c r="H935" s="439"/>
      <c r="I935" s="440"/>
      <c r="J935" s="435"/>
      <c r="K935" s="436"/>
      <c r="L935" s="436"/>
      <c r="M935" s="441"/>
      <c r="N935" s="57"/>
      <c r="O935" s="57"/>
      <c r="P935" s="60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</row>
    <row r="936" spans="1:27" ht="16.5">
      <c r="A936" s="57"/>
      <c r="B936" s="61">
        <v>931</v>
      </c>
      <c r="C936" s="146"/>
      <c r="D936" s="435"/>
      <c r="E936" s="436"/>
      <c r="F936" s="437"/>
      <c r="G936" s="438"/>
      <c r="H936" s="439"/>
      <c r="I936" s="440"/>
      <c r="J936" s="435"/>
      <c r="K936" s="436"/>
      <c r="L936" s="436"/>
      <c r="M936" s="441"/>
      <c r="N936" s="57"/>
      <c r="O936" s="57"/>
      <c r="P936" s="60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</row>
    <row r="937" spans="1:27" ht="16.5">
      <c r="A937" s="57"/>
      <c r="B937" s="61">
        <v>932</v>
      </c>
      <c r="C937" s="146"/>
      <c r="D937" s="435"/>
      <c r="E937" s="436"/>
      <c r="F937" s="437"/>
      <c r="G937" s="438"/>
      <c r="H937" s="439"/>
      <c r="I937" s="440"/>
      <c r="J937" s="435"/>
      <c r="K937" s="436"/>
      <c r="L937" s="436"/>
      <c r="M937" s="441"/>
      <c r="N937" s="57"/>
      <c r="O937" s="57"/>
      <c r="P937" s="60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</row>
    <row r="938" spans="1:27" ht="16.5">
      <c r="A938" s="57"/>
      <c r="B938" s="61">
        <v>933</v>
      </c>
      <c r="C938" s="146"/>
      <c r="D938" s="435"/>
      <c r="E938" s="436"/>
      <c r="F938" s="437"/>
      <c r="G938" s="438"/>
      <c r="H938" s="439"/>
      <c r="I938" s="440"/>
      <c r="J938" s="435"/>
      <c r="K938" s="436"/>
      <c r="L938" s="436"/>
      <c r="M938" s="441"/>
      <c r="N938" s="57"/>
      <c r="O938" s="57"/>
      <c r="P938" s="60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</row>
    <row r="939" spans="1:27" ht="16.5">
      <c r="A939" s="57"/>
      <c r="B939" s="61">
        <v>934</v>
      </c>
      <c r="C939" s="146"/>
      <c r="D939" s="435"/>
      <c r="E939" s="436"/>
      <c r="F939" s="437"/>
      <c r="G939" s="438"/>
      <c r="H939" s="439"/>
      <c r="I939" s="440"/>
      <c r="J939" s="435"/>
      <c r="K939" s="436"/>
      <c r="L939" s="436"/>
      <c r="M939" s="441"/>
      <c r="N939" s="57"/>
      <c r="O939" s="57"/>
      <c r="P939" s="60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</row>
    <row r="940" spans="1:27" ht="16.5">
      <c r="A940" s="57"/>
      <c r="B940" s="61">
        <v>935</v>
      </c>
      <c r="C940" s="146"/>
      <c r="D940" s="435"/>
      <c r="E940" s="436"/>
      <c r="F940" s="437"/>
      <c r="G940" s="438"/>
      <c r="H940" s="439"/>
      <c r="I940" s="440"/>
      <c r="J940" s="435"/>
      <c r="K940" s="436"/>
      <c r="L940" s="436"/>
      <c r="M940" s="441"/>
      <c r="N940" s="57"/>
      <c r="O940" s="57"/>
      <c r="P940" s="60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</row>
    <row r="941" spans="1:27" ht="16.5">
      <c r="A941" s="57"/>
      <c r="B941" s="61">
        <v>936</v>
      </c>
      <c r="C941" s="146"/>
      <c r="D941" s="435"/>
      <c r="E941" s="436"/>
      <c r="F941" s="437"/>
      <c r="G941" s="438"/>
      <c r="H941" s="439"/>
      <c r="I941" s="440"/>
      <c r="J941" s="435"/>
      <c r="K941" s="436"/>
      <c r="L941" s="436"/>
      <c r="M941" s="441"/>
      <c r="N941" s="57"/>
      <c r="O941" s="57"/>
      <c r="P941" s="60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</row>
    <row r="942" spans="1:27" ht="16.5">
      <c r="A942" s="57"/>
      <c r="B942" s="61">
        <v>937</v>
      </c>
      <c r="C942" s="146"/>
      <c r="D942" s="435"/>
      <c r="E942" s="436"/>
      <c r="F942" s="437"/>
      <c r="G942" s="438"/>
      <c r="H942" s="439"/>
      <c r="I942" s="440"/>
      <c r="J942" s="435"/>
      <c r="K942" s="436"/>
      <c r="L942" s="436"/>
      <c r="M942" s="441"/>
      <c r="N942" s="57"/>
      <c r="O942" s="57"/>
      <c r="P942" s="60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</row>
    <row r="943" spans="1:27" ht="16.5">
      <c r="A943" s="57"/>
      <c r="B943" s="61">
        <v>938</v>
      </c>
      <c r="C943" s="146"/>
      <c r="D943" s="435"/>
      <c r="E943" s="436"/>
      <c r="F943" s="437"/>
      <c r="G943" s="438"/>
      <c r="H943" s="439"/>
      <c r="I943" s="440"/>
      <c r="J943" s="435"/>
      <c r="K943" s="436"/>
      <c r="L943" s="436"/>
      <c r="M943" s="441"/>
      <c r="N943" s="57"/>
      <c r="O943" s="57"/>
      <c r="P943" s="60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</row>
    <row r="944" spans="1:27" ht="16.5">
      <c r="A944" s="57"/>
      <c r="B944" s="61">
        <v>939</v>
      </c>
      <c r="C944" s="146"/>
      <c r="D944" s="435"/>
      <c r="E944" s="436"/>
      <c r="F944" s="437"/>
      <c r="G944" s="438"/>
      <c r="H944" s="439"/>
      <c r="I944" s="440"/>
      <c r="J944" s="435"/>
      <c r="K944" s="436"/>
      <c r="L944" s="436"/>
      <c r="M944" s="441"/>
      <c r="N944" s="57"/>
      <c r="O944" s="57"/>
      <c r="P944" s="60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</row>
    <row r="945" spans="1:27" ht="16.5">
      <c r="A945" s="57"/>
      <c r="B945" s="61">
        <v>940</v>
      </c>
      <c r="C945" s="146"/>
      <c r="D945" s="435"/>
      <c r="E945" s="436"/>
      <c r="F945" s="437"/>
      <c r="G945" s="438"/>
      <c r="H945" s="439"/>
      <c r="I945" s="440"/>
      <c r="J945" s="435"/>
      <c r="K945" s="436"/>
      <c r="L945" s="436"/>
      <c r="M945" s="441"/>
      <c r="N945" s="57"/>
      <c r="O945" s="57"/>
      <c r="P945" s="60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</row>
    <row r="946" spans="1:27" ht="16.5">
      <c r="A946" s="57"/>
      <c r="B946" s="61">
        <v>941</v>
      </c>
      <c r="C946" s="146"/>
      <c r="D946" s="435"/>
      <c r="E946" s="436"/>
      <c r="F946" s="437"/>
      <c r="G946" s="438"/>
      <c r="H946" s="439"/>
      <c r="I946" s="440"/>
      <c r="J946" s="435"/>
      <c r="K946" s="436"/>
      <c r="L946" s="436"/>
      <c r="M946" s="441"/>
      <c r="N946" s="57"/>
      <c r="O946" s="57"/>
      <c r="P946" s="60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</row>
    <row r="947" spans="1:27" ht="16.5">
      <c r="A947" s="57"/>
      <c r="B947" s="61">
        <v>942</v>
      </c>
      <c r="C947" s="146"/>
      <c r="D947" s="435"/>
      <c r="E947" s="436"/>
      <c r="F947" s="437"/>
      <c r="G947" s="438"/>
      <c r="H947" s="439"/>
      <c r="I947" s="440"/>
      <c r="J947" s="435"/>
      <c r="K947" s="436"/>
      <c r="L947" s="436"/>
      <c r="M947" s="441"/>
      <c r="N947" s="57"/>
      <c r="O947" s="57"/>
      <c r="P947" s="60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</row>
    <row r="948" spans="1:27" ht="16.5">
      <c r="A948" s="57"/>
      <c r="B948" s="61">
        <v>943</v>
      </c>
      <c r="C948" s="146"/>
      <c r="D948" s="435"/>
      <c r="E948" s="436"/>
      <c r="F948" s="437"/>
      <c r="G948" s="438"/>
      <c r="H948" s="439"/>
      <c r="I948" s="440"/>
      <c r="J948" s="435"/>
      <c r="K948" s="436"/>
      <c r="L948" s="436"/>
      <c r="M948" s="441"/>
      <c r="N948" s="57"/>
      <c r="O948" s="57"/>
      <c r="P948" s="60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</row>
    <row r="949" spans="1:27" ht="16.5">
      <c r="A949" s="57"/>
      <c r="B949" s="61">
        <v>944</v>
      </c>
      <c r="C949" s="146"/>
      <c r="D949" s="435"/>
      <c r="E949" s="436"/>
      <c r="F949" s="437"/>
      <c r="G949" s="438"/>
      <c r="H949" s="439"/>
      <c r="I949" s="440"/>
      <c r="J949" s="435"/>
      <c r="K949" s="436"/>
      <c r="L949" s="436"/>
      <c r="M949" s="441"/>
      <c r="N949" s="57"/>
      <c r="O949" s="57"/>
      <c r="P949" s="60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</row>
    <row r="950" spans="1:27" ht="16.5">
      <c r="A950" s="57"/>
      <c r="B950" s="61">
        <v>945</v>
      </c>
      <c r="C950" s="146"/>
      <c r="D950" s="435"/>
      <c r="E950" s="436"/>
      <c r="F950" s="437"/>
      <c r="G950" s="438"/>
      <c r="H950" s="439"/>
      <c r="I950" s="440"/>
      <c r="J950" s="435"/>
      <c r="K950" s="436"/>
      <c r="L950" s="436"/>
      <c r="M950" s="441"/>
      <c r="N950" s="57"/>
      <c r="O950" s="57"/>
      <c r="P950" s="60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</row>
    <row r="951" spans="1:27" ht="16.5">
      <c r="A951" s="57"/>
      <c r="B951" s="61">
        <v>946</v>
      </c>
      <c r="C951" s="146"/>
      <c r="D951" s="435"/>
      <c r="E951" s="436"/>
      <c r="F951" s="437"/>
      <c r="G951" s="438"/>
      <c r="H951" s="439"/>
      <c r="I951" s="440"/>
      <c r="J951" s="435"/>
      <c r="K951" s="436"/>
      <c r="L951" s="436"/>
      <c r="M951" s="441"/>
      <c r="N951" s="57"/>
      <c r="O951" s="57"/>
      <c r="P951" s="60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</row>
    <row r="952" spans="1:27" ht="16.5">
      <c r="A952" s="57"/>
      <c r="B952" s="61">
        <v>947</v>
      </c>
      <c r="C952" s="146"/>
      <c r="D952" s="435"/>
      <c r="E952" s="436"/>
      <c r="F952" s="437"/>
      <c r="G952" s="438"/>
      <c r="H952" s="439"/>
      <c r="I952" s="440"/>
      <c r="J952" s="435"/>
      <c r="K952" s="436"/>
      <c r="L952" s="436"/>
      <c r="M952" s="441"/>
      <c r="N952" s="57"/>
      <c r="O952" s="57"/>
      <c r="P952" s="60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</row>
    <row r="953" spans="1:27" ht="16.5">
      <c r="A953" s="57"/>
      <c r="B953" s="61">
        <v>948</v>
      </c>
      <c r="C953" s="146"/>
      <c r="D953" s="435"/>
      <c r="E953" s="436"/>
      <c r="F953" s="437"/>
      <c r="G953" s="438"/>
      <c r="H953" s="439"/>
      <c r="I953" s="440"/>
      <c r="J953" s="435"/>
      <c r="K953" s="436"/>
      <c r="L953" s="436"/>
      <c r="M953" s="441"/>
      <c r="N953" s="57"/>
      <c r="O953" s="57"/>
      <c r="P953" s="60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</row>
    <row r="954" spans="1:27" ht="16.5">
      <c r="A954" s="57"/>
      <c r="B954" s="61">
        <v>949</v>
      </c>
      <c r="C954" s="146"/>
      <c r="D954" s="435"/>
      <c r="E954" s="436"/>
      <c r="F954" s="437"/>
      <c r="G954" s="438"/>
      <c r="H954" s="439"/>
      <c r="I954" s="440"/>
      <c r="J954" s="435"/>
      <c r="K954" s="436"/>
      <c r="L954" s="436"/>
      <c r="M954" s="441"/>
      <c r="N954" s="57"/>
      <c r="O954" s="57"/>
      <c r="P954" s="60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</row>
    <row r="955" spans="1:27" ht="16.5">
      <c r="A955" s="57"/>
      <c r="B955" s="61">
        <v>950</v>
      </c>
      <c r="C955" s="146"/>
      <c r="D955" s="435"/>
      <c r="E955" s="436"/>
      <c r="F955" s="437"/>
      <c r="G955" s="438"/>
      <c r="H955" s="439"/>
      <c r="I955" s="440"/>
      <c r="J955" s="435"/>
      <c r="K955" s="436"/>
      <c r="L955" s="436"/>
      <c r="M955" s="441"/>
      <c r="N955" s="57"/>
      <c r="O955" s="57"/>
      <c r="P955" s="60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</row>
    <row r="956" spans="1:27" ht="16.5">
      <c r="A956" s="57"/>
      <c r="B956" s="61">
        <v>951</v>
      </c>
      <c r="C956" s="146"/>
      <c r="D956" s="435"/>
      <c r="E956" s="436"/>
      <c r="F956" s="437"/>
      <c r="G956" s="438"/>
      <c r="H956" s="439"/>
      <c r="I956" s="440"/>
      <c r="J956" s="435"/>
      <c r="K956" s="436"/>
      <c r="L956" s="436"/>
      <c r="M956" s="441"/>
      <c r="N956" s="57"/>
      <c r="O956" s="57"/>
      <c r="P956" s="60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</row>
    <row r="957" spans="1:27" ht="16.5">
      <c r="A957" s="57"/>
      <c r="B957" s="61">
        <v>952</v>
      </c>
      <c r="C957" s="146"/>
      <c r="D957" s="435"/>
      <c r="E957" s="436"/>
      <c r="F957" s="437"/>
      <c r="G957" s="438"/>
      <c r="H957" s="439"/>
      <c r="I957" s="440"/>
      <c r="J957" s="435"/>
      <c r="K957" s="436"/>
      <c r="L957" s="436"/>
      <c r="M957" s="441"/>
      <c r="N957" s="57"/>
      <c r="O957" s="57"/>
      <c r="P957" s="60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</row>
    <row r="958" spans="1:27" ht="16.5">
      <c r="A958" s="57"/>
      <c r="B958" s="61">
        <v>953</v>
      </c>
      <c r="C958" s="146"/>
      <c r="D958" s="435"/>
      <c r="E958" s="436"/>
      <c r="F958" s="437"/>
      <c r="G958" s="438"/>
      <c r="H958" s="439"/>
      <c r="I958" s="440"/>
      <c r="J958" s="435"/>
      <c r="K958" s="436"/>
      <c r="L958" s="436"/>
      <c r="M958" s="441"/>
      <c r="N958" s="57"/>
      <c r="O958" s="57"/>
      <c r="P958" s="60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</row>
    <row r="959" spans="1:27" ht="16.5">
      <c r="A959" s="57"/>
      <c r="B959" s="61">
        <v>954</v>
      </c>
      <c r="C959" s="146"/>
      <c r="D959" s="435"/>
      <c r="E959" s="436"/>
      <c r="F959" s="437"/>
      <c r="G959" s="438"/>
      <c r="H959" s="439"/>
      <c r="I959" s="440"/>
      <c r="J959" s="435"/>
      <c r="K959" s="436"/>
      <c r="L959" s="436"/>
      <c r="M959" s="441"/>
      <c r="N959" s="57"/>
      <c r="O959" s="57"/>
      <c r="P959" s="60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</row>
    <row r="960" spans="1:27" ht="16.5">
      <c r="A960" s="57"/>
      <c r="B960" s="61">
        <v>955</v>
      </c>
      <c r="C960" s="146"/>
      <c r="D960" s="435"/>
      <c r="E960" s="436"/>
      <c r="F960" s="437"/>
      <c r="G960" s="438"/>
      <c r="H960" s="439"/>
      <c r="I960" s="440"/>
      <c r="J960" s="435"/>
      <c r="K960" s="436"/>
      <c r="L960" s="436"/>
      <c r="M960" s="441"/>
      <c r="N960" s="57"/>
      <c r="O960" s="57"/>
      <c r="P960" s="60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</row>
    <row r="961" spans="1:27" ht="16.5">
      <c r="A961" s="57"/>
      <c r="B961" s="61">
        <v>956</v>
      </c>
      <c r="C961" s="146"/>
      <c r="D961" s="435"/>
      <c r="E961" s="436"/>
      <c r="F961" s="437"/>
      <c r="G961" s="438"/>
      <c r="H961" s="439"/>
      <c r="I961" s="440"/>
      <c r="J961" s="435"/>
      <c r="K961" s="436"/>
      <c r="L961" s="436"/>
      <c r="M961" s="441"/>
      <c r="N961" s="57"/>
      <c r="O961" s="57"/>
      <c r="P961" s="60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</row>
    <row r="962" spans="1:27" ht="16.5">
      <c r="A962" s="57"/>
      <c r="B962" s="61">
        <v>957</v>
      </c>
      <c r="C962" s="146"/>
      <c r="D962" s="435"/>
      <c r="E962" s="436"/>
      <c r="F962" s="437"/>
      <c r="G962" s="438"/>
      <c r="H962" s="439"/>
      <c r="I962" s="440"/>
      <c r="J962" s="435"/>
      <c r="K962" s="436"/>
      <c r="L962" s="436"/>
      <c r="M962" s="441"/>
      <c r="N962" s="57"/>
      <c r="O962" s="57"/>
      <c r="P962" s="60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</row>
    <row r="963" spans="1:27" ht="16.5">
      <c r="A963" s="57"/>
      <c r="B963" s="61">
        <v>958</v>
      </c>
      <c r="C963" s="146"/>
      <c r="D963" s="435"/>
      <c r="E963" s="436"/>
      <c r="F963" s="437"/>
      <c r="G963" s="438"/>
      <c r="H963" s="439"/>
      <c r="I963" s="440"/>
      <c r="J963" s="435"/>
      <c r="K963" s="436"/>
      <c r="L963" s="436"/>
      <c r="M963" s="441"/>
      <c r="N963" s="57"/>
      <c r="O963" s="57"/>
      <c r="P963" s="60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</row>
    <row r="964" spans="1:27" ht="16.5">
      <c r="A964" s="57"/>
      <c r="B964" s="61">
        <v>959</v>
      </c>
      <c r="C964" s="146"/>
      <c r="D964" s="435"/>
      <c r="E964" s="436"/>
      <c r="F964" s="437"/>
      <c r="G964" s="438"/>
      <c r="H964" s="439"/>
      <c r="I964" s="440"/>
      <c r="J964" s="435"/>
      <c r="K964" s="436"/>
      <c r="L964" s="436"/>
      <c r="M964" s="441"/>
      <c r="N964" s="57"/>
      <c r="O964" s="57"/>
      <c r="P964" s="60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</row>
    <row r="965" spans="1:27" ht="16.5">
      <c r="A965" s="57"/>
      <c r="B965" s="61">
        <v>960</v>
      </c>
      <c r="C965" s="146"/>
      <c r="D965" s="435"/>
      <c r="E965" s="436"/>
      <c r="F965" s="437"/>
      <c r="G965" s="438"/>
      <c r="H965" s="439"/>
      <c r="I965" s="440"/>
      <c r="J965" s="435"/>
      <c r="K965" s="436"/>
      <c r="L965" s="436"/>
      <c r="M965" s="441"/>
      <c r="N965" s="57"/>
      <c r="O965" s="57"/>
      <c r="P965" s="60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</row>
    <row r="966" spans="1:27" ht="16.5">
      <c r="A966" s="57"/>
      <c r="B966" s="61">
        <v>961</v>
      </c>
      <c r="C966" s="146"/>
      <c r="D966" s="435"/>
      <c r="E966" s="436"/>
      <c r="F966" s="437"/>
      <c r="G966" s="438"/>
      <c r="H966" s="439"/>
      <c r="I966" s="440"/>
      <c r="J966" s="435"/>
      <c r="K966" s="436"/>
      <c r="L966" s="436"/>
      <c r="M966" s="441"/>
      <c r="N966" s="57"/>
      <c r="O966" s="57"/>
      <c r="P966" s="60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</row>
    <row r="967" spans="1:27" ht="16.5">
      <c r="A967" s="57"/>
      <c r="B967" s="61">
        <v>962</v>
      </c>
      <c r="C967" s="146"/>
      <c r="D967" s="435"/>
      <c r="E967" s="436"/>
      <c r="F967" s="437"/>
      <c r="G967" s="438"/>
      <c r="H967" s="439"/>
      <c r="I967" s="440"/>
      <c r="J967" s="435"/>
      <c r="K967" s="436"/>
      <c r="L967" s="436"/>
      <c r="M967" s="441"/>
      <c r="N967" s="57"/>
      <c r="O967" s="57"/>
      <c r="P967" s="60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</row>
    <row r="968" spans="1:27" ht="16.5">
      <c r="A968" s="57"/>
      <c r="B968" s="61">
        <v>963</v>
      </c>
      <c r="C968" s="146"/>
      <c r="D968" s="435"/>
      <c r="E968" s="436"/>
      <c r="F968" s="437"/>
      <c r="G968" s="438"/>
      <c r="H968" s="439"/>
      <c r="I968" s="440"/>
      <c r="J968" s="435"/>
      <c r="K968" s="436"/>
      <c r="L968" s="436"/>
      <c r="M968" s="441"/>
      <c r="N968" s="57"/>
      <c r="O968" s="57"/>
      <c r="P968" s="60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</row>
    <row r="969" spans="1:27" ht="16.5">
      <c r="A969" s="57"/>
      <c r="B969" s="61">
        <v>964</v>
      </c>
      <c r="C969" s="146"/>
      <c r="D969" s="435"/>
      <c r="E969" s="436"/>
      <c r="F969" s="437"/>
      <c r="G969" s="438"/>
      <c r="H969" s="439"/>
      <c r="I969" s="440"/>
      <c r="J969" s="435"/>
      <c r="K969" s="436"/>
      <c r="L969" s="436"/>
      <c r="M969" s="441"/>
      <c r="N969" s="57"/>
      <c r="O969" s="57"/>
      <c r="P969" s="60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</row>
    <row r="970" spans="1:27" ht="16.5">
      <c r="A970" s="57"/>
      <c r="B970" s="61">
        <v>965</v>
      </c>
      <c r="C970" s="146"/>
      <c r="D970" s="435"/>
      <c r="E970" s="436"/>
      <c r="F970" s="437"/>
      <c r="G970" s="438"/>
      <c r="H970" s="439"/>
      <c r="I970" s="440"/>
      <c r="J970" s="435"/>
      <c r="K970" s="436"/>
      <c r="L970" s="436"/>
      <c r="M970" s="441"/>
      <c r="N970" s="57"/>
      <c r="O970" s="57"/>
      <c r="P970" s="60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</row>
    <row r="971" spans="1:27" ht="16.5">
      <c r="A971" s="57"/>
      <c r="B971" s="61">
        <v>966</v>
      </c>
      <c r="C971" s="146"/>
      <c r="D971" s="435"/>
      <c r="E971" s="436"/>
      <c r="F971" s="437"/>
      <c r="G971" s="438"/>
      <c r="H971" s="439"/>
      <c r="I971" s="440"/>
      <c r="J971" s="435"/>
      <c r="K971" s="436"/>
      <c r="L971" s="436"/>
      <c r="M971" s="441"/>
      <c r="N971" s="57"/>
      <c r="O971" s="57"/>
      <c r="P971" s="60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</row>
    <row r="972" spans="1:27" ht="16.5">
      <c r="A972" s="57"/>
      <c r="B972" s="61">
        <v>967</v>
      </c>
      <c r="C972" s="146"/>
      <c r="D972" s="435"/>
      <c r="E972" s="436"/>
      <c r="F972" s="437"/>
      <c r="G972" s="438"/>
      <c r="H972" s="439"/>
      <c r="I972" s="440"/>
      <c r="J972" s="435"/>
      <c r="K972" s="436"/>
      <c r="L972" s="436"/>
      <c r="M972" s="441"/>
      <c r="N972" s="57"/>
      <c r="O972" s="57"/>
      <c r="P972" s="60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</row>
    <row r="973" spans="1:27" ht="16.5">
      <c r="A973" s="57"/>
      <c r="B973" s="61">
        <v>968</v>
      </c>
      <c r="C973" s="146"/>
      <c r="D973" s="435"/>
      <c r="E973" s="436"/>
      <c r="F973" s="437"/>
      <c r="G973" s="438"/>
      <c r="H973" s="439"/>
      <c r="I973" s="440"/>
      <c r="J973" s="435"/>
      <c r="K973" s="436"/>
      <c r="L973" s="436"/>
      <c r="M973" s="441"/>
      <c r="N973" s="57"/>
      <c r="O973" s="57"/>
      <c r="P973" s="60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</row>
    <row r="974" spans="1:27" ht="16.5">
      <c r="A974" s="57"/>
      <c r="B974" s="61">
        <v>969</v>
      </c>
      <c r="C974" s="146"/>
      <c r="D974" s="435"/>
      <c r="E974" s="436"/>
      <c r="F974" s="437"/>
      <c r="G974" s="438"/>
      <c r="H974" s="439"/>
      <c r="I974" s="440"/>
      <c r="J974" s="435"/>
      <c r="K974" s="436"/>
      <c r="L974" s="436"/>
      <c r="M974" s="441"/>
      <c r="N974" s="57"/>
      <c r="O974" s="57"/>
      <c r="P974" s="60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</row>
    <row r="975" spans="1:27" ht="16.5">
      <c r="A975" s="57"/>
      <c r="B975" s="61">
        <v>970</v>
      </c>
      <c r="C975" s="146"/>
      <c r="D975" s="435"/>
      <c r="E975" s="436"/>
      <c r="F975" s="437"/>
      <c r="G975" s="438"/>
      <c r="H975" s="439"/>
      <c r="I975" s="440"/>
      <c r="J975" s="435"/>
      <c r="K975" s="436"/>
      <c r="L975" s="436"/>
      <c r="M975" s="441"/>
      <c r="N975" s="57"/>
      <c r="O975" s="57"/>
      <c r="P975" s="60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</row>
    <row r="976" spans="1:27" ht="16.5">
      <c r="A976" s="57"/>
      <c r="B976" s="61">
        <v>971</v>
      </c>
      <c r="C976" s="146"/>
      <c r="D976" s="435"/>
      <c r="E976" s="436"/>
      <c r="F976" s="437"/>
      <c r="G976" s="438"/>
      <c r="H976" s="439"/>
      <c r="I976" s="440"/>
      <c r="J976" s="435"/>
      <c r="K976" s="436"/>
      <c r="L976" s="436"/>
      <c r="M976" s="441"/>
      <c r="N976" s="57"/>
      <c r="O976" s="57"/>
      <c r="P976" s="60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</row>
    <row r="977" spans="1:27" ht="16.5">
      <c r="A977" s="57"/>
      <c r="B977" s="61">
        <v>972</v>
      </c>
      <c r="C977" s="146"/>
      <c r="D977" s="435"/>
      <c r="E977" s="436"/>
      <c r="F977" s="437"/>
      <c r="G977" s="438"/>
      <c r="H977" s="439"/>
      <c r="I977" s="440"/>
      <c r="J977" s="435"/>
      <c r="K977" s="436"/>
      <c r="L977" s="436"/>
      <c r="M977" s="441"/>
      <c r="N977" s="57"/>
      <c r="O977" s="57"/>
      <c r="P977" s="60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</row>
    <row r="978" spans="1:27" ht="16.5">
      <c r="A978" s="57"/>
      <c r="B978" s="61">
        <v>973</v>
      </c>
      <c r="C978" s="146"/>
      <c r="D978" s="435"/>
      <c r="E978" s="436"/>
      <c r="F978" s="437"/>
      <c r="G978" s="438"/>
      <c r="H978" s="439"/>
      <c r="I978" s="440"/>
      <c r="J978" s="435"/>
      <c r="K978" s="436"/>
      <c r="L978" s="436"/>
      <c r="M978" s="441"/>
      <c r="N978" s="57"/>
      <c r="O978" s="57"/>
      <c r="P978" s="60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</row>
    <row r="979" spans="1:27" ht="16.5">
      <c r="A979" s="57"/>
      <c r="B979" s="61">
        <v>974</v>
      </c>
      <c r="C979" s="146"/>
      <c r="D979" s="435"/>
      <c r="E979" s="436"/>
      <c r="F979" s="437"/>
      <c r="G979" s="438"/>
      <c r="H979" s="439"/>
      <c r="I979" s="440"/>
      <c r="J979" s="435"/>
      <c r="K979" s="436"/>
      <c r="L979" s="436"/>
      <c r="M979" s="441"/>
      <c r="N979" s="57"/>
      <c r="O979" s="57"/>
      <c r="P979" s="60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</row>
    <row r="980" spans="1:27" ht="16.5">
      <c r="A980" s="57"/>
      <c r="B980" s="61">
        <v>975</v>
      </c>
      <c r="C980" s="146"/>
      <c r="D980" s="435"/>
      <c r="E980" s="436"/>
      <c r="F980" s="437"/>
      <c r="G980" s="438"/>
      <c r="H980" s="439"/>
      <c r="I980" s="440"/>
      <c r="J980" s="435"/>
      <c r="K980" s="436"/>
      <c r="L980" s="436"/>
      <c r="M980" s="441"/>
      <c r="N980" s="57"/>
      <c r="O980" s="57"/>
      <c r="P980" s="60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</row>
    <row r="981" spans="1:27" ht="16.5">
      <c r="A981" s="57"/>
      <c r="B981" s="61">
        <v>976</v>
      </c>
      <c r="C981" s="146"/>
      <c r="D981" s="435"/>
      <c r="E981" s="436"/>
      <c r="F981" s="437"/>
      <c r="G981" s="438"/>
      <c r="H981" s="439"/>
      <c r="I981" s="440"/>
      <c r="J981" s="435"/>
      <c r="K981" s="436"/>
      <c r="L981" s="436"/>
      <c r="M981" s="441"/>
      <c r="N981" s="57"/>
      <c r="O981" s="57"/>
      <c r="P981" s="60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</row>
    <row r="982" spans="1:27" ht="16.5">
      <c r="A982" s="57"/>
      <c r="B982" s="61">
        <v>977</v>
      </c>
      <c r="C982" s="146"/>
      <c r="D982" s="435"/>
      <c r="E982" s="436"/>
      <c r="F982" s="437"/>
      <c r="G982" s="438"/>
      <c r="H982" s="439"/>
      <c r="I982" s="440"/>
      <c r="J982" s="435"/>
      <c r="K982" s="436"/>
      <c r="L982" s="436"/>
      <c r="M982" s="441"/>
      <c r="N982" s="57"/>
      <c r="O982" s="57"/>
      <c r="P982" s="60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</row>
    <row r="983" spans="1:27" ht="16.5">
      <c r="A983" s="57"/>
      <c r="B983" s="61">
        <v>978</v>
      </c>
      <c r="C983" s="146"/>
      <c r="D983" s="435"/>
      <c r="E983" s="436"/>
      <c r="F983" s="437"/>
      <c r="G983" s="438"/>
      <c r="H983" s="439"/>
      <c r="I983" s="440"/>
      <c r="J983" s="435"/>
      <c r="K983" s="436"/>
      <c r="L983" s="436"/>
      <c r="M983" s="441"/>
      <c r="N983" s="57"/>
      <c r="O983" s="57"/>
      <c r="P983" s="60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</row>
    <row r="984" spans="1:27" ht="16.5">
      <c r="A984" s="57"/>
      <c r="B984" s="61">
        <v>979</v>
      </c>
      <c r="C984" s="146"/>
      <c r="D984" s="435"/>
      <c r="E984" s="436"/>
      <c r="F984" s="437"/>
      <c r="G984" s="438"/>
      <c r="H984" s="439"/>
      <c r="I984" s="440"/>
      <c r="J984" s="435"/>
      <c r="K984" s="436"/>
      <c r="L984" s="436"/>
      <c r="M984" s="441"/>
      <c r="N984" s="57"/>
      <c r="O984" s="57"/>
      <c r="P984" s="60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</row>
    <row r="985" spans="1:27" ht="16.5">
      <c r="A985" s="57"/>
      <c r="B985" s="61">
        <v>980</v>
      </c>
      <c r="C985" s="146"/>
      <c r="D985" s="435"/>
      <c r="E985" s="436"/>
      <c r="F985" s="437"/>
      <c r="G985" s="438"/>
      <c r="H985" s="439"/>
      <c r="I985" s="440"/>
      <c r="J985" s="435"/>
      <c r="K985" s="436"/>
      <c r="L985" s="436"/>
      <c r="M985" s="441"/>
      <c r="N985" s="57"/>
      <c r="O985" s="57"/>
      <c r="P985" s="60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</row>
    <row r="986" spans="1:27" ht="16.5">
      <c r="A986" s="57"/>
      <c r="B986" s="61">
        <v>981</v>
      </c>
      <c r="C986" s="146"/>
      <c r="D986" s="435"/>
      <c r="E986" s="436"/>
      <c r="F986" s="437"/>
      <c r="G986" s="438"/>
      <c r="H986" s="439"/>
      <c r="I986" s="440"/>
      <c r="J986" s="435"/>
      <c r="K986" s="436"/>
      <c r="L986" s="436"/>
      <c r="M986" s="441"/>
      <c r="N986" s="57"/>
      <c r="O986" s="57"/>
      <c r="P986" s="60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</row>
    <row r="987" spans="1:27" ht="16.5">
      <c r="A987" s="57"/>
      <c r="B987" s="61">
        <v>982</v>
      </c>
      <c r="C987" s="146"/>
      <c r="D987" s="435"/>
      <c r="E987" s="436"/>
      <c r="F987" s="437"/>
      <c r="G987" s="438"/>
      <c r="H987" s="439"/>
      <c r="I987" s="440"/>
      <c r="J987" s="435"/>
      <c r="K987" s="436"/>
      <c r="L987" s="436"/>
      <c r="M987" s="441"/>
      <c r="N987" s="57"/>
      <c r="O987" s="57"/>
      <c r="P987" s="60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</row>
    <row r="988" spans="1:27" ht="16.5">
      <c r="A988" s="57"/>
      <c r="B988" s="61">
        <v>983</v>
      </c>
      <c r="C988" s="146"/>
      <c r="D988" s="435"/>
      <c r="E988" s="436"/>
      <c r="F988" s="437"/>
      <c r="G988" s="438"/>
      <c r="H988" s="439"/>
      <c r="I988" s="440"/>
      <c r="J988" s="435"/>
      <c r="K988" s="436"/>
      <c r="L988" s="436"/>
      <c r="M988" s="441"/>
      <c r="N988" s="57"/>
      <c r="O988" s="57"/>
      <c r="P988" s="60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</row>
    <row r="989" spans="1:27" ht="16.5">
      <c r="A989" s="57"/>
      <c r="B989" s="61">
        <v>984</v>
      </c>
      <c r="C989" s="146"/>
      <c r="D989" s="435"/>
      <c r="E989" s="436"/>
      <c r="F989" s="437"/>
      <c r="G989" s="438"/>
      <c r="H989" s="439"/>
      <c r="I989" s="440"/>
      <c r="J989" s="435"/>
      <c r="K989" s="436"/>
      <c r="L989" s="436"/>
      <c r="M989" s="441"/>
      <c r="N989" s="57"/>
      <c r="O989" s="57"/>
      <c r="P989" s="60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</row>
    <row r="990" spans="1:27" ht="16.5">
      <c r="A990" s="57"/>
      <c r="B990" s="61">
        <v>985</v>
      </c>
      <c r="C990" s="146"/>
      <c r="D990" s="435"/>
      <c r="E990" s="436"/>
      <c r="F990" s="437"/>
      <c r="G990" s="438"/>
      <c r="H990" s="439"/>
      <c r="I990" s="440"/>
      <c r="J990" s="435"/>
      <c r="K990" s="436"/>
      <c r="L990" s="436"/>
      <c r="M990" s="441"/>
      <c r="N990" s="57"/>
      <c r="O990" s="57"/>
      <c r="P990" s="60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</row>
    <row r="991" spans="1:27" ht="16.5">
      <c r="A991" s="57"/>
      <c r="B991" s="61">
        <v>986</v>
      </c>
      <c r="C991" s="146"/>
      <c r="D991" s="435"/>
      <c r="E991" s="436"/>
      <c r="F991" s="437"/>
      <c r="G991" s="438"/>
      <c r="H991" s="439"/>
      <c r="I991" s="440"/>
      <c r="J991" s="435"/>
      <c r="K991" s="436"/>
      <c r="L991" s="436"/>
      <c r="M991" s="441"/>
      <c r="N991" s="57"/>
      <c r="O991" s="57"/>
      <c r="P991" s="60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</row>
    <row r="992" spans="1:27" ht="16.5">
      <c r="A992" s="57"/>
      <c r="B992" s="61">
        <v>987</v>
      </c>
      <c r="C992" s="146"/>
      <c r="D992" s="435"/>
      <c r="E992" s="436"/>
      <c r="F992" s="437"/>
      <c r="G992" s="438"/>
      <c r="H992" s="439"/>
      <c r="I992" s="440"/>
      <c r="J992" s="435"/>
      <c r="K992" s="436"/>
      <c r="L992" s="436"/>
      <c r="M992" s="441"/>
      <c r="N992" s="57"/>
      <c r="O992" s="57"/>
      <c r="P992" s="60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</row>
    <row r="993" spans="1:27" ht="16.5">
      <c r="A993" s="57"/>
      <c r="B993" s="61">
        <v>988</v>
      </c>
      <c r="C993" s="146"/>
      <c r="D993" s="435"/>
      <c r="E993" s="436"/>
      <c r="F993" s="437"/>
      <c r="G993" s="438"/>
      <c r="H993" s="439"/>
      <c r="I993" s="440"/>
      <c r="J993" s="435"/>
      <c r="K993" s="436"/>
      <c r="L993" s="436"/>
      <c r="M993" s="441"/>
      <c r="N993" s="57"/>
      <c r="O993" s="57"/>
      <c r="P993" s="60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</row>
    <row r="994" spans="1:27" ht="16.5">
      <c r="A994" s="57"/>
      <c r="B994" s="61">
        <v>989</v>
      </c>
      <c r="C994" s="146"/>
      <c r="D994" s="435"/>
      <c r="E994" s="436"/>
      <c r="F994" s="437"/>
      <c r="G994" s="438"/>
      <c r="H994" s="439"/>
      <c r="I994" s="440"/>
      <c r="J994" s="435"/>
      <c r="K994" s="436"/>
      <c r="L994" s="436"/>
      <c r="M994" s="441"/>
      <c r="N994" s="57"/>
      <c r="O994" s="57"/>
      <c r="P994" s="60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</row>
    <row r="995" spans="1:27" ht="16.5">
      <c r="A995" s="57"/>
      <c r="B995" s="61">
        <v>990</v>
      </c>
      <c r="C995" s="146"/>
      <c r="D995" s="435"/>
      <c r="E995" s="436"/>
      <c r="F995" s="437"/>
      <c r="G995" s="438"/>
      <c r="H995" s="439"/>
      <c r="I995" s="440"/>
      <c r="J995" s="435"/>
      <c r="K995" s="436"/>
      <c r="L995" s="436"/>
      <c r="M995" s="441"/>
      <c r="N995" s="57"/>
      <c r="O995" s="57"/>
      <c r="P995" s="60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</row>
    <row r="996" spans="1:27" ht="16.5">
      <c r="A996" s="57"/>
      <c r="B996" s="61">
        <v>991</v>
      </c>
      <c r="C996" s="146"/>
      <c r="D996" s="435"/>
      <c r="E996" s="436"/>
      <c r="F996" s="437"/>
      <c r="G996" s="438"/>
      <c r="H996" s="439"/>
      <c r="I996" s="440"/>
      <c r="J996" s="435"/>
      <c r="K996" s="436"/>
      <c r="L996" s="436"/>
      <c r="M996" s="441"/>
      <c r="N996" s="57"/>
      <c r="O996" s="57"/>
      <c r="P996" s="60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</row>
    <row r="997" spans="1:27" ht="16.5">
      <c r="A997" s="57"/>
      <c r="B997" s="61">
        <v>992</v>
      </c>
      <c r="C997" s="146"/>
      <c r="D997" s="435"/>
      <c r="E997" s="436"/>
      <c r="F997" s="437"/>
      <c r="G997" s="438"/>
      <c r="H997" s="439"/>
      <c r="I997" s="440"/>
      <c r="J997" s="435"/>
      <c r="K997" s="436"/>
      <c r="L997" s="436"/>
      <c r="M997" s="441"/>
      <c r="N997" s="57"/>
      <c r="O997" s="57"/>
      <c r="P997" s="60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</row>
    <row r="998" spans="1:27" ht="16.5">
      <c r="A998" s="57"/>
      <c r="B998" s="61">
        <v>993</v>
      </c>
      <c r="C998" s="146"/>
      <c r="D998" s="435"/>
      <c r="E998" s="436"/>
      <c r="F998" s="437"/>
      <c r="G998" s="438"/>
      <c r="H998" s="439"/>
      <c r="I998" s="440"/>
      <c r="J998" s="435"/>
      <c r="K998" s="436"/>
      <c r="L998" s="436"/>
      <c r="M998" s="441"/>
      <c r="N998" s="57"/>
      <c r="O998" s="57"/>
      <c r="P998" s="60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</row>
    <row r="999" spans="1:27" ht="16.5">
      <c r="A999" s="57"/>
      <c r="B999" s="61">
        <v>994</v>
      </c>
      <c r="C999" s="146"/>
      <c r="D999" s="435"/>
      <c r="E999" s="436"/>
      <c r="F999" s="437"/>
      <c r="G999" s="438"/>
      <c r="H999" s="439"/>
      <c r="I999" s="440"/>
      <c r="J999" s="435"/>
      <c r="K999" s="436"/>
      <c r="L999" s="436"/>
      <c r="M999" s="441"/>
      <c r="N999" s="57"/>
      <c r="O999" s="57"/>
      <c r="P999" s="60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</row>
    <row r="1000" spans="1:27" ht="16.5">
      <c r="A1000" s="57"/>
      <c r="B1000" s="61">
        <v>995</v>
      </c>
      <c r="C1000" s="146"/>
      <c r="D1000" s="435"/>
      <c r="E1000" s="436"/>
      <c r="F1000" s="437"/>
      <c r="G1000" s="438"/>
      <c r="H1000" s="439"/>
      <c r="I1000" s="440"/>
      <c r="J1000" s="435"/>
      <c r="K1000" s="436"/>
      <c r="L1000" s="436"/>
      <c r="M1000" s="441"/>
      <c r="N1000" s="57"/>
      <c r="O1000" s="57"/>
      <c r="P1000" s="60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</row>
    <row r="1001" spans="1:27" ht="16.5">
      <c r="A1001" s="57"/>
      <c r="B1001" s="61">
        <v>996</v>
      </c>
      <c r="C1001" s="146"/>
      <c r="D1001" s="435"/>
      <c r="E1001" s="436"/>
      <c r="F1001" s="437"/>
      <c r="G1001" s="438"/>
      <c r="H1001" s="439"/>
      <c r="I1001" s="440"/>
      <c r="J1001" s="435"/>
      <c r="K1001" s="436"/>
      <c r="L1001" s="436"/>
      <c r="M1001" s="441"/>
      <c r="N1001" s="57"/>
      <c r="O1001" s="57"/>
      <c r="P1001" s="60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</row>
    <row r="1002" spans="1:27" ht="16.5">
      <c r="A1002" s="57"/>
      <c r="B1002" s="61">
        <v>997</v>
      </c>
      <c r="C1002" s="146"/>
      <c r="D1002" s="435"/>
      <c r="E1002" s="436"/>
      <c r="F1002" s="437"/>
      <c r="G1002" s="438"/>
      <c r="H1002" s="439"/>
      <c r="I1002" s="440"/>
      <c r="J1002" s="435"/>
      <c r="K1002" s="436"/>
      <c r="L1002" s="436"/>
      <c r="M1002" s="441"/>
      <c r="N1002" s="57"/>
      <c r="O1002" s="57"/>
      <c r="P1002" s="60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  <c r="AA1002" s="57"/>
    </row>
    <row r="1003" spans="1:27" ht="16.5">
      <c r="A1003" s="57"/>
      <c r="B1003" s="61">
        <v>998</v>
      </c>
      <c r="C1003" s="146"/>
      <c r="D1003" s="435"/>
      <c r="E1003" s="436"/>
      <c r="F1003" s="437"/>
      <c r="G1003" s="438"/>
      <c r="H1003" s="439"/>
      <c r="I1003" s="440"/>
      <c r="J1003" s="435"/>
      <c r="K1003" s="436"/>
      <c r="L1003" s="436"/>
      <c r="M1003" s="441"/>
      <c r="N1003" s="57"/>
      <c r="O1003" s="57"/>
      <c r="P1003" s="60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  <c r="AA1003" s="57"/>
    </row>
    <row r="1004" spans="1:27" ht="16.5">
      <c r="A1004" s="57"/>
      <c r="B1004" s="61">
        <v>999</v>
      </c>
      <c r="C1004" s="146"/>
      <c r="D1004" s="435"/>
      <c r="E1004" s="436"/>
      <c r="F1004" s="437"/>
      <c r="G1004" s="438"/>
      <c r="H1004" s="439"/>
      <c r="I1004" s="440"/>
      <c r="J1004" s="435"/>
      <c r="K1004" s="436"/>
      <c r="L1004" s="436"/>
      <c r="M1004" s="441"/>
      <c r="N1004" s="57"/>
      <c r="O1004" s="57"/>
      <c r="P1004" s="60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  <c r="AA1004" s="57"/>
    </row>
    <row r="1005" spans="1:27" ht="16.5">
      <c r="A1005" s="57"/>
      <c r="B1005" s="61">
        <v>1000</v>
      </c>
      <c r="C1005" s="146"/>
      <c r="D1005" s="435"/>
      <c r="E1005" s="436"/>
      <c r="F1005" s="437"/>
      <c r="G1005" s="438"/>
      <c r="H1005" s="439"/>
      <c r="I1005" s="440"/>
      <c r="J1005" s="435"/>
      <c r="K1005" s="436"/>
      <c r="L1005" s="436"/>
      <c r="M1005" s="441"/>
      <c r="N1005" s="57"/>
      <c r="O1005" s="57"/>
      <c r="P1005" s="60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  <c r="AA1005" s="57"/>
    </row>
    <row r="1006" spans="1:27" ht="15.75" thickBot="1">
      <c r="A1006" s="57"/>
      <c r="B1006" s="62" t="s">
        <v>148</v>
      </c>
      <c r="C1006" s="101">
        <f>SUM(C6:C1005)</f>
        <v>0</v>
      </c>
      <c r="D1006" s="458"/>
      <c r="E1006" s="459"/>
      <c r="F1006" s="459"/>
      <c r="G1006" s="459"/>
      <c r="H1006" s="459"/>
      <c r="I1006" s="459"/>
      <c r="J1006" s="459"/>
      <c r="K1006" s="459"/>
      <c r="L1006" s="459"/>
      <c r="M1006" s="460"/>
      <c r="N1006" s="57"/>
      <c r="O1006" s="57"/>
      <c r="P1006" s="60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  <c r="AA1006" s="57"/>
    </row>
    <row r="1007" spans="1:27" ht="9" customHeight="1">
      <c r="A1007" s="57"/>
      <c r="B1007" s="57"/>
      <c r="C1007" s="60"/>
      <c r="D1007" s="57"/>
      <c r="E1007" s="57"/>
      <c r="F1007" s="57"/>
      <c r="G1007" s="57"/>
      <c r="H1007" s="57"/>
      <c r="I1007" s="57"/>
      <c r="J1007" s="57"/>
      <c r="K1007" s="57"/>
      <c r="L1007" s="57"/>
      <c r="M1007" s="57"/>
      <c r="N1007" s="57"/>
      <c r="O1007" s="57"/>
      <c r="P1007" s="60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  <c r="AA1007" s="57"/>
    </row>
    <row r="1008" spans="1:27">
      <c r="A1008" s="57"/>
      <c r="B1008" s="57"/>
      <c r="C1008" s="60"/>
      <c r="D1008" s="57"/>
      <c r="E1008" s="57"/>
      <c r="F1008" s="57"/>
      <c r="G1008" s="57"/>
      <c r="H1008" s="57"/>
      <c r="I1008" s="57"/>
      <c r="J1008" s="57"/>
      <c r="K1008" s="57"/>
      <c r="L1008" s="57"/>
      <c r="M1008" s="57"/>
      <c r="N1008" s="57"/>
      <c r="O1008" s="57"/>
      <c r="P1008" s="60"/>
      <c r="Q1008" s="57"/>
      <c r="R1008" s="57"/>
      <c r="S1008" s="57"/>
      <c r="T1008" s="57"/>
      <c r="U1008" s="57"/>
      <c r="V1008" s="57"/>
      <c r="W1008" s="57"/>
      <c r="X1008" s="57"/>
      <c r="Y1008" s="57"/>
      <c r="Z1008" s="57"/>
      <c r="AA1008" s="57"/>
    </row>
    <row r="1009" spans="1:27">
      <c r="A1009" s="57"/>
      <c r="B1009" s="57"/>
      <c r="C1009" s="60"/>
      <c r="D1009" s="57"/>
      <c r="E1009" s="57"/>
      <c r="F1009" s="57"/>
      <c r="G1009" s="57"/>
      <c r="H1009" s="57"/>
      <c r="I1009" s="57"/>
      <c r="J1009" s="57"/>
      <c r="K1009" s="57"/>
      <c r="L1009" s="57"/>
      <c r="M1009" s="57"/>
      <c r="N1009" s="57"/>
      <c r="O1009" s="57"/>
      <c r="P1009" s="60"/>
      <c r="Q1009" s="57"/>
      <c r="R1009" s="57"/>
      <c r="S1009" s="57"/>
      <c r="T1009" s="57"/>
      <c r="U1009" s="57"/>
      <c r="V1009" s="57"/>
      <c r="W1009" s="57"/>
      <c r="X1009" s="57"/>
      <c r="Y1009" s="57"/>
      <c r="Z1009" s="57"/>
      <c r="AA1009" s="57"/>
    </row>
    <row r="1010" spans="1:27">
      <c r="A1010" s="57"/>
      <c r="B1010" s="57"/>
      <c r="C1010" s="60"/>
      <c r="D1010" s="57"/>
      <c r="E1010" s="57"/>
      <c r="F1010" s="57"/>
      <c r="G1010" s="57"/>
      <c r="H1010" s="57"/>
      <c r="I1010" s="57"/>
      <c r="J1010" s="57"/>
      <c r="K1010" s="57"/>
      <c r="L1010" s="57"/>
      <c r="M1010" s="57"/>
      <c r="N1010" s="57"/>
      <c r="O1010" s="57"/>
      <c r="P1010" s="60"/>
      <c r="Q1010" s="57"/>
      <c r="R1010" s="57"/>
      <c r="S1010" s="57"/>
      <c r="T1010" s="57"/>
      <c r="U1010" s="57"/>
      <c r="V1010" s="57"/>
      <c r="W1010" s="57"/>
      <c r="X1010" s="57"/>
      <c r="Y1010" s="57"/>
      <c r="Z1010" s="57"/>
      <c r="AA1010" s="57"/>
    </row>
    <row r="1011" spans="1:27">
      <c r="A1011" s="57"/>
      <c r="B1011" s="57"/>
      <c r="C1011" s="102"/>
      <c r="D1011" s="57"/>
      <c r="E1011" s="57"/>
      <c r="F1011" s="57"/>
      <c r="G1011" s="57"/>
      <c r="H1011" s="57"/>
      <c r="I1011" s="57"/>
      <c r="J1011" s="57"/>
      <c r="K1011" s="57"/>
      <c r="L1011" s="57"/>
      <c r="M1011" s="57"/>
      <c r="N1011" s="57"/>
      <c r="O1011" s="57"/>
      <c r="P1011" s="60"/>
      <c r="Q1011" s="57"/>
      <c r="R1011" s="57"/>
      <c r="S1011" s="57"/>
      <c r="T1011" s="57"/>
      <c r="U1011" s="57"/>
      <c r="V1011" s="57"/>
      <c r="W1011" s="57"/>
      <c r="X1011" s="57"/>
      <c r="Y1011" s="57"/>
      <c r="Z1011" s="57"/>
      <c r="AA1011" s="57"/>
    </row>
    <row r="1012" spans="1:27">
      <c r="A1012" s="57"/>
      <c r="B1012" s="57"/>
      <c r="C1012" s="60"/>
      <c r="D1012" s="57"/>
      <c r="E1012" s="57"/>
      <c r="F1012" s="57"/>
      <c r="G1012" s="57"/>
      <c r="H1012" s="57"/>
      <c r="I1012" s="57"/>
      <c r="J1012" s="57"/>
      <c r="K1012" s="57"/>
      <c r="L1012" s="57"/>
      <c r="M1012" s="57"/>
      <c r="N1012" s="57"/>
      <c r="O1012" s="57"/>
      <c r="P1012" s="60"/>
      <c r="Q1012" s="57"/>
      <c r="R1012" s="57"/>
      <c r="S1012" s="57"/>
      <c r="T1012" s="57"/>
      <c r="U1012" s="57"/>
      <c r="V1012" s="57"/>
      <c r="W1012" s="57"/>
      <c r="X1012" s="57"/>
      <c r="Y1012" s="57"/>
      <c r="Z1012" s="57"/>
      <c r="AA1012" s="57"/>
    </row>
    <row r="1013" spans="1:27">
      <c r="A1013" s="57"/>
      <c r="B1013" s="57"/>
      <c r="C1013" s="60"/>
      <c r="D1013" s="57"/>
      <c r="E1013" s="57"/>
      <c r="F1013" s="57"/>
      <c r="G1013" s="57"/>
      <c r="H1013" s="57"/>
      <c r="I1013" s="57"/>
      <c r="J1013" s="57"/>
      <c r="K1013" s="57"/>
      <c r="L1013" s="57"/>
      <c r="M1013" s="57"/>
      <c r="N1013" s="57"/>
      <c r="O1013" s="57"/>
      <c r="P1013" s="60"/>
      <c r="Q1013" s="57"/>
      <c r="R1013" s="57"/>
      <c r="S1013" s="57"/>
      <c r="T1013" s="57"/>
      <c r="U1013" s="57"/>
      <c r="V1013" s="57"/>
      <c r="W1013" s="57"/>
      <c r="X1013" s="57"/>
      <c r="Y1013" s="57"/>
      <c r="Z1013" s="57"/>
      <c r="AA1013" s="57"/>
    </row>
    <row r="1014" spans="1:27">
      <c r="A1014" s="57"/>
      <c r="B1014" s="57"/>
      <c r="C1014" s="60"/>
      <c r="D1014" s="57"/>
      <c r="E1014" s="57"/>
      <c r="F1014" s="57"/>
      <c r="G1014" s="57"/>
      <c r="H1014" s="57"/>
      <c r="I1014" s="57"/>
      <c r="J1014" s="57"/>
      <c r="K1014" s="57"/>
      <c r="L1014" s="57"/>
      <c r="M1014" s="57"/>
      <c r="N1014" s="57"/>
      <c r="O1014" s="57"/>
      <c r="P1014" s="60"/>
      <c r="Q1014" s="57"/>
      <c r="R1014" s="57"/>
      <c r="S1014" s="57"/>
      <c r="T1014" s="57"/>
      <c r="U1014" s="57"/>
      <c r="V1014" s="57"/>
      <c r="W1014" s="57"/>
      <c r="X1014" s="57"/>
      <c r="Y1014" s="57"/>
      <c r="Z1014" s="57"/>
      <c r="AA1014" s="57"/>
    </row>
    <row r="1015" spans="1:27">
      <c r="A1015" s="57"/>
      <c r="B1015" s="57"/>
      <c r="C1015" s="60"/>
      <c r="D1015" s="57"/>
      <c r="E1015" s="57"/>
      <c r="F1015" s="57"/>
      <c r="G1015" s="57"/>
      <c r="H1015" s="57"/>
      <c r="I1015" s="57"/>
      <c r="J1015" s="57"/>
      <c r="K1015" s="57"/>
      <c r="L1015" s="57"/>
      <c r="M1015" s="57"/>
      <c r="N1015" s="57"/>
      <c r="O1015" s="57"/>
      <c r="P1015" s="60"/>
      <c r="Q1015" s="57"/>
      <c r="R1015" s="57"/>
      <c r="S1015" s="57"/>
      <c r="T1015" s="57"/>
      <c r="U1015" s="57"/>
      <c r="V1015" s="57"/>
      <c r="W1015" s="57"/>
      <c r="X1015" s="57"/>
      <c r="Y1015" s="57"/>
      <c r="Z1015" s="57"/>
      <c r="AA1015" s="57"/>
    </row>
    <row r="1016" spans="1:27">
      <c r="A1016" s="57"/>
      <c r="B1016" s="57"/>
      <c r="C1016" s="60"/>
      <c r="D1016" s="57"/>
      <c r="E1016" s="57"/>
      <c r="F1016" s="57"/>
      <c r="G1016" s="57"/>
      <c r="H1016" s="57"/>
      <c r="I1016" s="57"/>
      <c r="J1016" s="57"/>
      <c r="K1016" s="57"/>
      <c r="L1016" s="57"/>
      <c r="M1016" s="57"/>
      <c r="N1016" s="57"/>
      <c r="O1016" s="57"/>
      <c r="P1016" s="60"/>
      <c r="Q1016" s="57"/>
      <c r="R1016" s="57"/>
      <c r="S1016" s="57"/>
      <c r="T1016" s="57"/>
      <c r="U1016" s="57"/>
      <c r="V1016" s="57"/>
      <c r="W1016" s="57"/>
      <c r="X1016" s="57"/>
      <c r="Y1016" s="57"/>
      <c r="Z1016" s="57"/>
      <c r="AA1016" s="57"/>
    </row>
    <row r="1017" spans="1:27">
      <c r="A1017" s="57"/>
      <c r="B1017" s="57"/>
      <c r="C1017" s="60"/>
      <c r="D1017" s="57"/>
      <c r="E1017" s="57"/>
      <c r="F1017" s="57"/>
      <c r="G1017" s="57"/>
      <c r="H1017" s="57"/>
      <c r="I1017" s="57"/>
      <c r="J1017" s="57"/>
      <c r="K1017" s="57"/>
      <c r="L1017" s="57"/>
      <c r="M1017" s="57"/>
      <c r="N1017" s="57"/>
      <c r="O1017" s="57"/>
      <c r="P1017" s="60"/>
      <c r="Q1017" s="57"/>
      <c r="R1017" s="57"/>
      <c r="S1017" s="57"/>
      <c r="T1017" s="57"/>
      <c r="U1017" s="57"/>
      <c r="V1017" s="57"/>
      <c r="W1017" s="57"/>
      <c r="X1017" s="57"/>
      <c r="Y1017" s="57"/>
      <c r="Z1017" s="57"/>
      <c r="AA1017" s="57"/>
    </row>
    <row r="1018" spans="1:27">
      <c r="A1018" s="57"/>
      <c r="B1018" s="57"/>
      <c r="C1018" s="60"/>
      <c r="D1018" s="57"/>
      <c r="E1018" s="57"/>
      <c r="F1018" s="57"/>
      <c r="G1018" s="57"/>
      <c r="H1018" s="57"/>
      <c r="I1018" s="57"/>
      <c r="J1018" s="57"/>
      <c r="K1018" s="57"/>
      <c r="L1018" s="57"/>
      <c r="M1018" s="57"/>
      <c r="N1018" s="57"/>
      <c r="O1018" s="57"/>
      <c r="P1018" s="60"/>
      <c r="Q1018" s="57"/>
      <c r="R1018" s="57"/>
      <c r="S1018" s="57"/>
      <c r="T1018" s="57"/>
      <c r="U1018" s="57"/>
      <c r="V1018" s="57"/>
      <c r="W1018" s="57"/>
      <c r="X1018" s="57"/>
      <c r="Y1018" s="57"/>
      <c r="Z1018" s="57"/>
      <c r="AA1018" s="57"/>
    </row>
    <row r="1019" spans="1:27">
      <c r="A1019" s="57"/>
      <c r="B1019" s="57"/>
      <c r="C1019" s="60"/>
      <c r="D1019" s="57"/>
      <c r="E1019" s="57"/>
      <c r="F1019" s="57"/>
      <c r="G1019" s="57"/>
      <c r="H1019" s="57"/>
      <c r="I1019" s="57"/>
      <c r="J1019" s="57"/>
      <c r="K1019" s="57"/>
      <c r="L1019" s="57"/>
      <c r="M1019" s="57"/>
      <c r="N1019" s="57"/>
      <c r="O1019" s="57"/>
      <c r="P1019" s="60"/>
      <c r="Q1019" s="57"/>
      <c r="R1019" s="57"/>
      <c r="S1019" s="57"/>
      <c r="T1019" s="57"/>
      <c r="U1019" s="57"/>
      <c r="V1019" s="57"/>
      <c r="W1019" s="57"/>
      <c r="X1019" s="57"/>
      <c r="Y1019" s="57"/>
      <c r="Z1019" s="57"/>
      <c r="AA1019" s="57"/>
    </row>
    <row r="1020" spans="1:27">
      <c r="A1020" s="57"/>
      <c r="B1020" s="57"/>
      <c r="C1020" s="60"/>
      <c r="D1020" s="57"/>
      <c r="E1020" s="57"/>
      <c r="F1020" s="57"/>
      <c r="G1020" s="57"/>
      <c r="H1020" s="57"/>
      <c r="I1020" s="57"/>
      <c r="J1020" s="57"/>
      <c r="K1020" s="57"/>
      <c r="L1020" s="57"/>
      <c r="M1020" s="57"/>
      <c r="N1020" s="57"/>
      <c r="O1020" s="57"/>
      <c r="P1020" s="60"/>
      <c r="Q1020" s="57"/>
      <c r="R1020" s="57"/>
      <c r="S1020" s="57"/>
      <c r="T1020" s="57"/>
      <c r="U1020" s="57"/>
      <c r="V1020" s="57"/>
      <c r="W1020" s="57"/>
      <c r="X1020" s="57"/>
      <c r="Y1020" s="57"/>
      <c r="Z1020" s="57"/>
      <c r="AA1020" s="57"/>
    </row>
    <row r="1021" spans="1:27">
      <c r="A1021" s="57"/>
      <c r="B1021" s="57"/>
      <c r="C1021" s="60"/>
      <c r="D1021" s="57"/>
      <c r="E1021" s="57"/>
      <c r="F1021" s="57"/>
      <c r="G1021" s="57"/>
      <c r="H1021" s="57"/>
      <c r="I1021" s="57"/>
      <c r="J1021" s="57"/>
      <c r="K1021" s="57"/>
      <c r="L1021" s="57"/>
      <c r="M1021" s="57"/>
      <c r="N1021" s="57"/>
      <c r="O1021" s="57"/>
      <c r="P1021" s="60"/>
      <c r="Q1021" s="57"/>
      <c r="R1021" s="57"/>
      <c r="S1021" s="57"/>
      <c r="T1021" s="57"/>
      <c r="U1021" s="57"/>
      <c r="V1021" s="57"/>
      <c r="W1021" s="57"/>
      <c r="X1021" s="57"/>
      <c r="Y1021" s="57"/>
      <c r="Z1021" s="57"/>
      <c r="AA1021" s="57"/>
    </row>
    <row r="1022" spans="1:27">
      <c r="A1022" s="57"/>
      <c r="B1022" s="57"/>
      <c r="C1022" s="60"/>
      <c r="D1022" s="57"/>
      <c r="E1022" s="57"/>
      <c r="F1022" s="57"/>
      <c r="G1022" s="57"/>
      <c r="H1022" s="57"/>
      <c r="I1022" s="57"/>
      <c r="J1022" s="57"/>
      <c r="K1022" s="57"/>
      <c r="L1022" s="57"/>
      <c r="M1022" s="57"/>
      <c r="N1022" s="57"/>
      <c r="O1022" s="57"/>
      <c r="P1022" s="60"/>
      <c r="Q1022" s="57"/>
      <c r="R1022" s="57"/>
      <c r="S1022" s="57"/>
      <c r="T1022" s="57"/>
      <c r="U1022" s="57"/>
      <c r="V1022" s="57"/>
      <c r="W1022" s="57"/>
      <c r="X1022" s="57"/>
      <c r="Y1022" s="57"/>
      <c r="Z1022" s="57"/>
      <c r="AA1022" s="57"/>
    </row>
    <row r="1023" spans="1:27">
      <c r="A1023" s="57"/>
      <c r="B1023" s="57"/>
      <c r="C1023" s="60"/>
      <c r="D1023" s="57"/>
      <c r="E1023" s="57"/>
      <c r="F1023" s="57"/>
      <c r="G1023" s="57"/>
      <c r="H1023" s="57"/>
      <c r="I1023" s="57"/>
      <c r="J1023" s="57"/>
      <c r="K1023" s="57"/>
      <c r="L1023" s="57"/>
      <c r="M1023" s="57"/>
      <c r="N1023" s="57"/>
      <c r="O1023" s="57"/>
      <c r="P1023" s="60"/>
      <c r="Q1023" s="57"/>
      <c r="R1023" s="57"/>
      <c r="S1023" s="57"/>
      <c r="T1023" s="57"/>
      <c r="U1023" s="57"/>
      <c r="V1023" s="57"/>
      <c r="W1023" s="57"/>
      <c r="X1023" s="57"/>
      <c r="Y1023" s="57"/>
      <c r="Z1023" s="57"/>
      <c r="AA1023" s="57"/>
    </row>
    <row r="1024" spans="1:27">
      <c r="A1024" s="57"/>
      <c r="B1024" s="57"/>
      <c r="C1024" s="60"/>
      <c r="D1024" s="57"/>
      <c r="E1024" s="57"/>
      <c r="F1024" s="57"/>
      <c r="G1024" s="57"/>
      <c r="H1024" s="57"/>
      <c r="I1024" s="57"/>
      <c r="J1024" s="57"/>
      <c r="K1024" s="57"/>
      <c r="L1024" s="57"/>
      <c r="M1024" s="57"/>
      <c r="N1024" s="57"/>
      <c r="O1024" s="57"/>
      <c r="P1024" s="60"/>
      <c r="Q1024" s="57"/>
      <c r="R1024" s="57"/>
      <c r="S1024" s="57"/>
      <c r="T1024" s="57"/>
      <c r="U1024" s="57"/>
      <c r="V1024" s="57"/>
      <c r="W1024" s="57"/>
      <c r="X1024" s="57"/>
      <c r="Y1024" s="57"/>
      <c r="Z1024" s="57"/>
      <c r="AA1024" s="57"/>
    </row>
    <row r="1025" spans="1:27">
      <c r="A1025" s="57"/>
      <c r="B1025" s="57"/>
      <c r="C1025" s="60"/>
      <c r="D1025" s="57"/>
      <c r="E1025" s="57"/>
      <c r="F1025" s="57"/>
      <c r="G1025" s="57"/>
      <c r="H1025" s="57"/>
      <c r="I1025" s="57"/>
      <c r="J1025" s="57"/>
      <c r="K1025" s="57"/>
      <c r="L1025" s="57"/>
      <c r="M1025" s="57"/>
      <c r="N1025" s="57"/>
      <c r="O1025" s="57"/>
      <c r="P1025" s="60"/>
      <c r="Q1025" s="57"/>
      <c r="R1025" s="57"/>
      <c r="S1025" s="57"/>
      <c r="T1025" s="57"/>
      <c r="U1025" s="57"/>
      <c r="V1025" s="57"/>
      <c r="W1025" s="57"/>
      <c r="X1025" s="57"/>
      <c r="Y1025" s="57"/>
      <c r="Z1025" s="57"/>
      <c r="AA1025" s="57"/>
    </row>
    <row r="1026" spans="1:27">
      <c r="A1026" s="57"/>
      <c r="B1026" s="57"/>
      <c r="C1026" s="60"/>
      <c r="D1026" s="57"/>
      <c r="E1026" s="57"/>
      <c r="F1026" s="57"/>
      <c r="G1026" s="57"/>
      <c r="H1026" s="57"/>
      <c r="I1026" s="57"/>
      <c r="J1026" s="57"/>
      <c r="K1026" s="57"/>
      <c r="L1026" s="57"/>
      <c r="M1026" s="57"/>
      <c r="N1026" s="57"/>
      <c r="O1026" s="57"/>
      <c r="P1026" s="60"/>
      <c r="Q1026" s="57"/>
      <c r="R1026" s="57"/>
      <c r="S1026" s="57"/>
      <c r="T1026" s="57"/>
      <c r="U1026" s="57"/>
      <c r="V1026" s="57"/>
      <c r="W1026" s="57"/>
      <c r="X1026" s="57"/>
      <c r="Y1026" s="57"/>
      <c r="Z1026" s="57"/>
      <c r="AA1026" s="57"/>
    </row>
    <row r="1027" spans="1:27">
      <c r="A1027" s="57"/>
      <c r="B1027" s="57"/>
      <c r="C1027" s="60"/>
      <c r="D1027" s="57"/>
      <c r="E1027" s="57"/>
      <c r="F1027" s="57"/>
      <c r="G1027" s="57"/>
      <c r="H1027" s="57"/>
      <c r="I1027" s="57"/>
      <c r="J1027" s="57"/>
      <c r="K1027" s="57"/>
      <c r="L1027" s="57"/>
      <c r="M1027" s="57"/>
      <c r="N1027" s="57"/>
      <c r="O1027" s="57"/>
      <c r="P1027" s="60"/>
      <c r="Q1027" s="57"/>
      <c r="R1027" s="57"/>
      <c r="S1027" s="57"/>
      <c r="T1027" s="57"/>
      <c r="U1027" s="57"/>
      <c r="V1027" s="57"/>
      <c r="W1027" s="57"/>
      <c r="X1027" s="57"/>
      <c r="Y1027" s="57"/>
      <c r="Z1027" s="57"/>
      <c r="AA1027" s="57"/>
    </row>
    <row r="1028" spans="1:27">
      <c r="A1028" s="57"/>
      <c r="B1028" s="57"/>
      <c r="C1028" s="60"/>
      <c r="D1028" s="57"/>
      <c r="E1028" s="57"/>
      <c r="F1028" s="57"/>
      <c r="G1028" s="57"/>
      <c r="H1028" s="57"/>
      <c r="I1028" s="57"/>
      <c r="J1028" s="57"/>
      <c r="K1028" s="57"/>
      <c r="L1028" s="57"/>
      <c r="M1028" s="57"/>
      <c r="N1028" s="57"/>
      <c r="O1028" s="57"/>
      <c r="P1028" s="60"/>
      <c r="Q1028" s="57"/>
      <c r="R1028" s="57"/>
      <c r="S1028" s="57"/>
      <c r="T1028" s="57"/>
      <c r="U1028" s="57"/>
      <c r="V1028" s="57"/>
      <c r="W1028" s="57"/>
      <c r="X1028" s="57"/>
      <c r="Y1028" s="57"/>
      <c r="Z1028" s="57"/>
      <c r="AA1028" s="57"/>
    </row>
    <row r="1029" spans="1:27">
      <c r="A1029" s="57"/>
      <c r="B1029" s="57"/>
      <c r="C1029" s="60"/>
      <c r="D1029" s="57"/>
      <c r="E1029" s="57"/>
      <c r="F1029" s="57"/>
      <c r="G1029" s="57"/>
      <c r="H1029" s="57"/>
      <c r="I1029" s="57"/>
      <c r="J1029" s="57"/>
      <c r="K1029" s="57"/>
      <c r="L1029" s="57"/>
      <c r="M1029" s="57"/>
      <c r="N1029" s="57"/>
      <c r="O1029" s="57"/>
      <c r="P1029" s="60"/>
      <c r="Q1029" s="57"/>
      <c r="R1029" s="57"/>
      <c r="S1029" s="57"/>
      <c r="T1029" s="57"/>
      <c r="U1029" s="57"/>
      <c r="V1029" s="57"/>
      <c r="W1029" s="57"/>
      <c r="X1029" s="57"/>
      <c r="Y1029" s="57"/>
      <c r="Z1029" s="57"/>
      <c r="AA1029" s="57"/>
    </row>
    <row r="1030" spans="1:27">
      <c r="A1030" s="57"/>
      <c r="B1030" s="57"/>
      <c r="C1030" s="60"/>
      <c r="D1030" s="57"/>
      <c r="E1030" s="57"/>
      <c r="F1030" s="57"/>
      <c r="G1030" s="57"/>
      <c r="H1030" s="57"/>
      <c r="I1030" s="57"/>
      <c r="J1030" s="57"/>
      <c r="K1030" s="57"/>
      <c r="L1030" s="57"/>
      <c r="M1030" s="57"/>
      <c r="N1030" s="57"/>
      <c r="O1030" s="57"/>
      <c r="P1030" s="60"/>
      <c r="Q1030" s="57"/>
      <c r="R1030" s="57"/>
      <c r="S1030" s="57"/>
      <c r="T1030" s="57"/>
      <c r="U1030" s="57"/>
      <c r="V1030" s="57"/>
      <c r="W1030" s="57"/>
      <c r="X1030" s="57"/>
      <c r="Y1030" s="57"/>
      <c r="Z1030" s="57"/>
      <c r="AA1030" s="57"/>
    </row>
    <row r="1031" spans="1:27">
      <c r="A1031" s="57"/>
      <c r="B1031" s="57"/>
      <c r="C1031" s="60"/>
      <c r="D1031" s="57"/>
      <c r="E1031" s="57"/>
      <c r="F1031" s="57"/>
      <c r="G1031" s="57"/>
      <c r="H1031" s="57"/>
      <c r="I1031" s="57"/>
      <c r="J1031" s="57"/>
      <c r="K1031" s="57"/>
      <c r="L1031" s="57"/>
      <c r="M1031" s="57"/>
      <c r="N1031" s="57"/>
      <c r="O1031" s="57"/>
      <c r="P1031" s="60"/>
      <c r="Q1031" s="57"/>
      <c r="R1031" s="57"/>
      <c r="S1031" s="57"/>
      <c r="T1031" s="57"/>
      <c r="U1031" s="57"/>
      <c r="V1031" s="57"/>
      <c r="W1031" s="57"/>
      <c r="X1031" s="57"/>
      <c r="Y1031" s="57"/>
      <c r="Z1031" s="57"/>
      <c r="AA1031" s="57"/>
    </row>
    <row r="1032" spans="1:27">
      <c r="A1032" s="57"/>
      <c r="B1032" s="57"/>
      <c r="C1032" s="60"/>
      <c r="D1032" s="57"/>
      <c r="E1032" s="57"/>
      <c r="F1032" s="57"/>
      <c r="G1032" s="57"/>
      <c r="H1032" s="57"/>
      <c r="I1032" s="57"/>
      <c r="J1032" s="57"/>
      <c r="K1032" s="57"/>
      <c r="L1032" s="57"/>
      <c r="M1032" s="57"/>
      <c r="N1032" s="57"/>
      <c r="O1032" s="57"/>
      <c r="P1032" s="60"/>
      <c r="Q1032" s="57"/>
      <c r="R1032" s="57"/>
      <c r="S1032" s="57"/>
      <c r="T1032" s="57"/>
      <c r="U1032" s="57"/>
      <c r="V1032" s="57"/>
      <c r="W1032" s="57"/>
      <c r="X1032" s="57"/>
      <c r="Y1032" s="57"/>
      <c r="Z1032" s="57"/>
      <c r="AA1032" s="57"/>
    </row>
    <row r="1033" spans="1:27">
      <c r="A1033" s="57"/>
      <c r="B1033" s="57"/>
      <c r="C1033" s="60"/>
      <c r="D1033" s="57"/>
      <c r="E1033" s="57"/>
      <c r="F1033" s="57"/>
      <c r="G1033" s="57"/>
      <c r="H1033" s="57"/>
      <c r="I1033" s="57"/>
      <c r="J1033" s="57"/>
      <c r="K1033" s="57"/>
      <c r="L1033" s="57"/>
      <c r="M1033" s="57"/>
      <c r="N1033" s="57"/>
      <c r="O1033" s="57"/>
      <c r="P1033" s="60"/>
      <c r="Q1033" s="57"/>
      <c r="R1033" s="57"/>
      <c r="S1033" s="57"/>
      <c r="T1033" s="57"/>
      <c r="U1033" s="57"/>
      <c r="V1033" s="57"/>
      <c r="W1033" s="57"/>
      <c r="X1033" s="57"/>
      <c r="Y1033" s="57"/>
      <c r="Z1033" s="57"/>
      <c r="AA1033" s="57"/>
    </row>
    <row r="1034" spans="1:27">
      <c r="A1034" s="57"/>
      <c r="B1034" s="57"/>
      <c r="C1034" s="60"/>
      <c r="D1034" s="57"/>
      <c r="E1034" s="57"/>
      <c r="F1034" s="57"/>
      <c r="G1034" s="57"/>
      <c r="H1034" s="57"/>
      <c r="I1034" s="57"/>
      <c r="J1034" s="57"/>
      <c r="K1034" s="57"/>
      <c r="L1034" s="57"/>
      <c r="M1034" s="57"/>
      <c r="N1034" s="57"/>
      <c r="O1034" s="57"/>
      <c r="P1034" s="60"/>
      <c r="Q1034" s="57"/>
      <c r="R1034" s="57"/>
      <c r="S1034" s="57"/>
      <c r="T1034" s="57"/>
      <c r="U1034" s="57"/>
      <c r="V1034" s="57"/>
      <c r="W1034" s="57"/>
      <c r="X1034" s="57"/>
      <c r="Y1034" s="57"/>
      <c r="Z1034" s="57"/>
      <c r="AA1034" s="57"/>
    </row>
    <row r="1035" spans="1:27">
      <c r="A1035" s="57"/>
      <c r="B1035" s="57"/>
      <c r="C1035" s="60"/>
      <c r="D1035" s="57"/>
      <c r="E1035" s="57"/>
      <c r="F1035" s="57"/>
      <c r="G1035" s="57"/>
      <c r="H1035" s="57"/>
      <c r="I1035" s="57"/>
      <c r="J1035" s="57"/>
      <c r="K1035" s="57"/>
      <c r="L1035" s="57"/>
      <c r="M1035" s="57"/>
      <c r="N1035" s="57"/>
      <c r="O1035" s="57"/>
      <c r="P1035" s="60"/>
      <c r="Q1035" s="57"/>
      <c r="R1035" s="57"/>
      <c r="S1035" s="57"/>
      <c r="T1035" s="57"/>
      <c r="U1035" s="57"/>
      <c r="V1035" s="57"/>
      <c r="W1035" s="57"/>
      <c r="X1035" s="57"/>
      <c r="Y1035" s="57"/>
      <c r="Z1035" s="57"/>
      <c r="AA1035" s="57"/>
    </row>
    <row r="1036" spans="1:27">
      <c r="A1036" s="57"/>
      <c r="B1036" s="57"/>
      <c r="C1036" s="60"/>
      <c r="D1036" s="57"/>
      <c r="E1036" s="57"/>
      <c r="F1036" s="57"/>
      <c r="G1036" s="57"/>
      <c r="H1036" s="57"/>
      <c r="I1036" s="57"/>
      <c r="J1036" s="57"/>
      <c r="K1036" s="57"/>
      <c r="L1036" s="57"/>
      <c r="M1036" s="57"/>
      <c r="N1036" s="57"/>
      <c r="O1036" s="57"/>
      <c r="P1036" s="60"/>
      <c r="Q1036" s="57"/>
      <c r="R1036" s="57"/>
      <c r="S1036" s="57"/>
      <c r="T1036" s="57"/>
      <c r="U1036" s="57"/>
      <c r="V1036" s="57"/>
      <c r="W1036" s="57"/>
      <c r="X1036" s="57"/>
      <c r="Y1036" s="57"/>
      <c r="Z1036" s="57"/>
      <c r="AA1036" s="57"/>
    </row>
    <row r="1037" spans="1:27">
      <c r="A1037" s="57"/>
      <c r="B1037" s="57"/>
      <c r="C1037" s="60"/>
      <c r="D1037" s="57"/>
      <c r="E1037" s="57"/>
      <c r="F1037" s="57"/>
      <c r="G1037" s="57"/>
      <c r="H1037" s="57"/>
      <c r="I1037" s="57"/>
      <c r="J1037" s="57"/>
      <c r="K1037" s="57"/>
      <c r="L1037" s="57"/>
      <c r="M1037" s="57"/>
      <c r="N1037" s="57"/>
      <c r="O1037" s="57"/>
      <c r="P1037" s="60"/>
      <c r="Q1037" s="57"/>
      <c r="R1037" s="57"/>
      <c r="S1037" s="57"/>
      <c r="T1037" s="57"/>
      <c r="U1037" s="57"/>
      <c r="V1037" s="57"/>
      <c r="W1037" s="57"/>
      <c r="X1037" s="57"/>
      <c r="Y1037" s="57"/>
      <c r="Z1037" s="57"/>
      <c r="AA1037" s="57"/>
    </row>
    <row r="1038" spans="1:27">
      <c r="A1038" s="57"/>
      <c r="B1038" s="57"/>
      <c r="C1038" s="60"/>
      <c r="D1038" s="57"/>
      <c r="E1038" s="57"/>
      <c r="F1038" s="57"/>
      <c r="G1038" s="57"/>
      <c r="H1038" s="57"/>
      <c r="I1038" s="57"/>
      <c r="J1038" s="57"/>
      <c r="K1038" s="57"/>
      <c r="L1038" s="57"/>
      <c r="M1038" s="57"/>
      <c r="N1038" s="57"/>
      <c r="O1038" s="57"/>
      <c r="P1038" s="60"/>
      <c r="Q1038" s="57"/>
      <c r="R1038" s="57"/>
      <c r="S1038" s="57"/>
      <c r="T1038" s="57"/>
      <c r="U1038" s="57"/>
      <c r="V1038" s="57"/>
      <c r="W1038" s="57"/>
      <c r="X1038" s="57"/>
      <c r="Y1038" s="57"/>
      <c r="Z1038" s="57"/>
      <c r="AA1038" s="57"/>
    </row>
    <row r="1039" spans="1:27">
      <c r="A1039" s="57"/>
      <c r="B1039" s="57"/>
      <c r="C1039" s="60"/>
      <c r="D1039" s="57"/>
      <c r="E1039" s="57"/>
      <c r="F1039" s="57"/>
      <c r="G1039" s="57"/>
      <c r="H1039" s="57"/>
      <c r="I1039" s="57"/>
      <c r="J1039" s="57"/>
      <c r="K1039" s="57"/>
      <c r="L1039" s="57"/>
      <c r="M1039" s="57"/>
      <c r="N1039" s="57"/>
      <c r="O1039" s="57"/>
      <c r="P1039" s="60"/>
      <c r="Q1039" s="57"/>
      <c r="R1039" s="57"/>
      <c r="S1039" s="57"/>
      <c r="T1039" s="57"/>
      <c r="U1039" s="57"/>
      <c r="V1039" s="57"/>
      <c r="W1039" s="57"/>
      <c r="X1039" s="57"/>
      <c r="Y1039" s="57"/>
      <c r="Z1039" s="57"/>
      <c r="AA1039" s="57"/>
    </row>
    <row r="1040" spans="1:27">
      <c r="A1040" s="57"/>
      <c r="B1040" s="57"/>
      <c r="C1040" s="60"/>
      <c r="D1040" s="57"/>
      <c r="E1040" s="57"/>
      <c r="F1040" s="57"/>
      <c r="G1040" s="57"/>
      <c r="H1040" s="57"/>
      <c r="I1040" s="57"/>
      <c r="J1040" s="57"/>
      <c r="K1040" s="57"/>
      <c r="L1040" s="57"/>
      <c r="M1040" s="57"/>
      <c r="N1040" s="57"/>
      <c r="O1040" s="57"/>
      <c r="P1040" s="60"/>
      <c r="Q1040" s="57"/>
      <c r="R1040" s="57"/>
      <c r="S1040" s="57"/>
      <c r="T1040" s="57"/>
      <c r="U1040" s="57"/>
      <c r="V1040" s="57"/>
      <c r="W1040" s="57"/>
      <c r="X1040" s="57"/>
      <c r="Y1040" s="57"/>
      <c r="Z1040" s="57"/>
      <c r="AA1040" s="57"/>
    </row>
    <row r="1041" spans="1:27">
      <c r="A1041" s="57"/>
      <c r="B1041" s="57"/>
      <c r="C1041" s="60"/>
      <c r="D1041" s="57"/>
      <c r="E1041" s="57"/>
      <c r="F1041" s="57"/>
      <c r="G1041" s="57"/>
      <c r="H1041" s="57"/>
      <c r="I1041" s="57"/>
      <c r="J1041" s="57"/>
      <c r="K1041" s="57"/>
      <c r="L1041" s="57"/>
      <c r="M1041" s="57"/>
      <c r="N1041" s="57"/>
      <c r="O1041" s="57"/>
      <c r="P1041" s="60"/>
      <c r="Q1041" s="57"/>
      <c r="R1041" s="57"/>
      <c r="S1041" s="57"/>
      <c r="T1041" s="57"/>
      <c r="U1041" s="57"/>
      <c r="V1041" s="57"/>
      <c r="W1041" s="57"/>
      <c r="X1041" s="57"/>
      <c r="Y1041" s="57"/>
      <c r="Z1041" s="57"/>
      <c r="AA1041" s="57"/>
    </row>
    <row r="1042" spans="1:27">
      <c r="A1042" s="57"/>
      <c r="B1042" s="57"/>
      <c r="C1042" s="60"/>
      <c r="D1042" s="57"/>
      <c r="E1042" s="57"/>
      <c r="F1042" s="57"/>
      <c r="G1042" s="57"/>
      <c r="H1042" s="57"/>
      <c r="I1042" s="57"/>
      <c r="J1042" s="57"/>
      <c r="K1042" s="57"/>
      <c r="L1042" s="57"/>
      <c r="M1042" s="57"/>
      <c r="N1042" s="57"/>
      <c r="O1042" s="57"/>
      <c r="P1042" s="60"/>
      <c r="Q1042" s="57"/>
      <c r="R1042" s="57"/>
      <c r="S1042" s="57"/>
      <c r="T1042" s="57"/>
      <c r="U1042" s="57"/>
      <c r="V1042" s="57"/>
      <c r="W1042" s="57"/>
      <c r="X1042" s="57"/>
      <c r="Y1042" s="57"/>
      <c r="Z1042" s="57"/>
      <c r="AA1042" s="57"/>
    </row>
    <row r="1043" spans="1:27">
      <c r="A1043" s="57"/>
      <c r="B1043" s="57"/>
      <c r="C1043" s="60"/>
      <c r="D1043" s="57"/>
      <c r="E1043" s="57"/>
      <c r="F1043" s="57"/>
      <c r="G1043" s="57"/>
      <c r="H1043" s="57"/>
      <c r="I1043" s="57"/>
      <c r="J1043" s="57"/>
      <c r="K1043" s="57"/>
      <c r="L1043" s="57"/>
      <c r="M1043" s="57"/>
      <c r="N1043" s="57"/>
      <c r="O1043" s="57"/>
      <c r="P1043" s="60"/>
      <c r="Q1043" s="57"/>
      <c r="R1043" s="57"/>
      <c r="S1043" s="57"/>
      <c r="T1043" s="57"/>
      <c r="U1043" s="57"/>
      <c r="V1043" s="57"/>
      <c r="W1043" s="57"/>
      <c r="X1043" s="57"/>
      <c r="Y1043" s="57"/>
      <c r="Z1043" s="57"/>
      <c r="AA1043" s="57"/>
    </row>
    <row r="1044" spans="1:27">
      <c r="A1044" s="57"/>
      <c r="B1044" s="57"/>
      <c r="C1044" s="60"/>
      <c r="D1044" s="57"/>
      <c r="E1044" s="57"/>
      <c r="F1044" s="57"/>
      <c r="G1044" s="57"/>
      <c r="H1044" s="57"/>
      <c r="I1044" s="57"/>
      <c r="J1044" s="57"/>
      <c r="K1044" s="57"/>
      <c r="L1044" s="57"/>
      <c r="M1044" s="57"/>
      <c r="N1044" s="57"/>
      <c r="O1044" s="57"/>
      <c r="P1044" s="60"/>
      <c r="Q1044" s="57"/>
      <c r="R1044" s="57"/>
      <c r="S1044" s="57"/>
      <c r="T1044" s="57"/>
      <c r="U1044" s="57"/>
      <c r="V1044" s="57"/>
      <c r="W1044" s="57"/>
      <c r="X1044" s="57"/>
      <c r="Y1044" s="57"/>
      <c r="Z1044" s="57"/>
      <c r="AA1044" s="57"/>
    </row>
    <row r="1045" spans="1:27">
      <c r="A1045" s="57"/>
      <c r="B1045" s="57"/>
      <c r="C1045" s="60"/>
      <c r="D1045" s="57"/>
      <c r="E1045" s="57"/>
      <c r="F1045" s="57"/>
      <c r="G1045" s="57"/>
      <c r="H1045" s="57"/>
      <c r="I1045" s="57"/>
      <c r="J1045" s="57"/>
      <c r="K1045" s="57"/>
      <c r="L1045" s="57"/>
      <c r="M1045" s="57"/>
      <c r="N1045" s="57"/>
      <c r="O1045" s="57"/>
      <c r="P1045" s="60"/>
      <c r="Q1045" s="57"/>
      <c r="R1045" s="57"/>
      <c r="S1045" s="57"/>
      <c r="T1045" s="57"/>
      <c r="U1045" s="57"/>
      <c r="V1045" s="57"/>
      <c r="W1045" s="57"/>
      <c r="X1045" s="57"/>
      <c r="Y1045" s="57"/>
      <c r="Z1045" s="57"/>
      <c r="AA1045" s="57"/>
    </row>
    <row r="1046" spans="1:27">
      <c r="A1046" s="57"/>
      <c r="B1046" s="57"/>
      <c r="C1046" s="60"/>
      <c r="D1046" s="57"/>
      <c r="E1046" s="57"/>
      <c r="F1046" s="57"/>
      <c r="G1046" s="57"/>
      <c r="H1046" s="57"/>
      <c r="I1046" s="57"/>
      <c r="J1046" s="57"/>
      <c r="K1046" s="57"/>
      <c r="L1046" s="57"/>
      <c r="M1046" s="57"/>
      <c r="N1046" s="57"/>
      <c r="O1046" s="57"/>
      <c r="P1046" s="60"/>
      <c r="Q1046" s="57"/>
      <c r="R1046" s="57"/>
      <c r="S1046" s="57"/>
      <c r="T1046" s="57"/>
      <c r="U1046" s="57"/>
      <c r="V1046" s="57"/>
      <c r="W1046" s="57"/>
      <c r="X1046" s="57"/>
      <c r="Y1046" s="57"/>
      <c r="Z1046" s="57"/>
      <c r="AA1046" s="57"/>
    </row>
    <row r="1047" spans="1:27">
      <c r="A1047" s="57"/>
      <c r="B1047" s="57"/>
      <c r="C1047" s="60"/>
      <c r="D1047" s="57"/>
      <c r="E1047" s="57"/>
      <c r="F1047" s="57"/>
      <c r="G1047" s="57"/>
      <c r="H1047" s="57"/>
      <c r="I1047" s="57"/>
      <c r="J1047" s="57"/>
      <c r="K1047" s="57"/>
      <c r="L1047" s="57"/>
      <c r="M1047" s="57"/>
      <c r="N1047" s="57"/>
      <c r="O1047" s="57"/>
      <c r="P1047" s="60"/>
      <c r="Q1047" s="57"/>
      <c r="R1047" s="57"/>
      <c r="S1047" s="57"/>
      <c r="T1047" s="57"/>
      <c r="U1047" s="57"/>
      <c r="V1047" s="57"/>
      <c r="W1047" s="57"/>
      <c r="X1047" s="57"/>
      <c r="Y1047" s="57"/>
      <c r="Z1047" s="57"/>
      <c r="AA1047" s="57"/>
    </row>
    <row r="1048" spans="1:27">
      <c r="A1048" s="57"/>
      <c r="B1048" s="57"/>
      <c r="C1048" s="60"/>
      <c r="D1048" s="57"/>
      <c r="E1048" s="57"/>
      <c r="F1048" s="57"/>
      <c r="G1048" s="57"/>
      <c r="H1048" s="57"/>
      <c r="I1048" s="57"/>
      <c r="J1048" s="57"/>
      <c r="K1048" s="57"/>
      <c r="L1048" s="57"/>
      <c r="M1048" s="57"/>
      <c r="N1048" s="57"/>
      <c r="O1048" s="57"/>
      <c r="P1048" s="60"/>
      <c r="Q1048" s="57"/>
      <c r="R1048" s="57"/>
      <c r="S1048" s="57"/>
      <c r="T1048" s="57"/>
      <c r="U1048" s="57"/>
      <c r="V1048" s="57"/>
      <c r="W1048" s="57"/>
      <c r="X1048" s="57"/>
      <c r="Y1048" s="57"/>
      <c r="Z1048" s="57"/>
      <c r="AA1048" s="57"/>
    </row>
    <row r="1049" spans="1:27">
      <c r="A1049" s="57"/>
      <c r="B1049" s="57"/>
      <c r="C1049" s="60"/>
      <c r="D1049" s="57"/>
      <c r="E1049" s="57"/>
      <c r="F1049" s="57"/>
      <c r="G1049" s="57"/>
      <c r="H1049" s="57"/>
      <c r="I1049" s="57"/>
      <c r="J1049" s="57"/>
      <c r="K1049" s="57"/>
      <c r="L1049" s="57"/>
      <c r="M1049" s="57"/>
      <c r="N1049" s="57"/>
      <c r="O1049" s="57"/>
      <c r="P1049" s="60"/>
      <c r="Q1049" s="57"/>
      <c r="R1049" s="57"/>
      <c r="S1049" s="57"/>
      <c r="T1049" s="57"/>
      <c r="U1049" s="57"/>
      <c r="V1049" s="57"/>
      <c r="W1049" s="57"/>
      <c r="X1049" s="57"/>
      <c r="Y1049" s="57"/>
      <c r="Z1049" s="57"/>
      <c r="AA1049" s="57"/>
    </row>
    <row r="1050" spans="1:27">
      <c r="A1050" s="57"/>
      <c r="B1050" s="57"/>
      <c r="C1050" s="60"/>
      <c r="D1050" s="57"/>
      <c r="E1050" s="57"/>
      <c r="F1050" s="57"/>
      <c r="G1050" s="57"/>
      <c r="H1050" s="57"/>
      <c r="I1050" s="57"/>
      <c r="J1050" s="57"/>
      <c r="K1050" s="57"/>
      <c r="L1050" s="57"/>
      <c r="M1050" s="57"/>
      <c r="N1050" s="57"/>
      <c r="O1050" s="57"/>
      <c r="P1050" s="60"/>
      <c r="Q1050" s="57"/>
      <c r="R1050" s="57"/>
      <c r="S1050" s="57"/>
      <c r="T1050" s="57"/>
      <c r="U1050" s="57"/>
      <c r="V1050" s="57"/>
      <c r="W1050" s="57"/>
      <c r="X1050" s="57"/>
      <c r="Y1050" s="57"/>
      <c r="Z1050" s="57"/>
      <c r="AA1050" s="57"/>
    </row>
    <row r="1051" spans="1:27">
      <c r="A1051" s="57"/>
      <c r="B1051" s="57"/>
      <c r="C1051" s="60"/>
      <c r="D1051" s="57"/>
      <c r="E1051" s="57"/>
      <c r="F1051" s="57"/>
      <c r="G1051" s="57"/>
      <c r="H1051" s="57"/>
      <c r="I1051" s="57"/>
      <c r="J1051" s="57"/>
      <c r="K1051" s="57"/>
      <c r="L1051" s="57"/>
      <c r="M1051" s="57"/>
      <c r="N1051" s="57"/>
      <c r="O1051" s="57"/>
      <c r="P1051" s="60"/>
      <c r="Q1051" s="57"/>
      <c r="R1051" s="57"/>
      <c r="S1051" s="57"/>
      <c r="T1051" s="57"/>
      <c r="U1051" s="57"/>
      <c r="V1051" s="57"/>
      <c r="W1051" s="57"/>
      <c r="X1051" s="57"/>
      <c r="Y1051" s="57"/>
      <c r="Z1051" s="57"/>
      <c r="AA1051" s="57"/>
    </row>
    <row r="1052" spans="1:27">
      <c r="A1052" s="57"/>
      <c r="B1052" s="57"/>
      <c r="C1052" s="60"/>
      <c r="D1052" s="57"/>
      <c r="E1052" s="57"/>
      <c r="F1052" s="57"/>
      <c r="G1052" s="57"/>
      <c r="H1052" s="57"/>
      <c r="I1052" s="57"/>
      <c r="J1052" s="57"/>
      <c r="K1052" s="57"/>
      <c r="L1052" s="57"/>
      <c r="M1052" s="57"/>
      <c r="N1052" s="57"/>
      <c r="O1052" s="57"/>
      <c r="P1052" s="60"/>
      <c r="Q1052" s="57"/>
      <c r="R1052" s="57"/>
      <c r="S1052" s="57"/>
      <c r="T1052" s="57"/>
      <c r="U1052" s="57"/>
      <c r="V1052" s="57"/>
      <c r="W1052" s="57"/>
      <c r="X1052" s="57"/>
      <c r="Y1052" s="57"/>
      <c r="Z1052" s="57"/>
      <c r="AA1052" s="57"/>
    </row>
    <row r="1053" spans="1:27">
      <c r="A1053" s="57"/>
      <c r="B1053" s="57"/>
      <c r="C1053" s="60"/>
      <c r="D1053" s="57"/>
      <c r="E1053" s="57"/>
      <c r="F1053" s="57"/>
      <c r="G1053" s="57"/>
      <c r="H1053" s="57"/>
      <c r="I1053" s="57"/>
      <c r="J1053" s="57"/>
      <c r="K1053" s="57"/>
      <c r="L1053" s="57"/>
      <c r="M1053" s="57"/>
      <c r="N1053" s="57"/>
      <c r="O1053" s="57"/>
      <c r="P1053" s="60"/>
      <c r="Q1053" s="57"/>
      <c r="R1053" s="57"/>
      <c r="S1053" s="57"/>
      <c r="T1053" s="57"/>
      <c r="U1053" s="57"/>
      <c r="V1053" s="57"/>
      <c r="W1053" s="57"/>
      <c r="X1053" s="57"/>
      <c r="Y1053" s="57"/>
      <c r="Z1053" s="57"/>
      <c r="AA1053" s="57"/>
    </row>
    <row r="1054" spans="1:27">
      <c r="A1054" s="57"/>
      <c r="B1054" s="57"/>
      <c r="C1054" s="60"/>
      <c r="D1054" s="57"/>
      <c r="E1054" s="57"/>
      <c r="F1054" s="57"/>
      <c r="G1054" s="57"/>
      <c r="H1054" s="57"/>
      <c r="I1054" s="57"/>
      <c r="J1054" s="57"/>
      <c r="K1054" s="57"/>
      <c r="L1054" s="57"/>
      <c r="M1054" s="57"/>
      <c r="N1054" s="57"/>
      <c r="O1054" s="57"/>
      <c r="P1054" s="60"/>
      <c r="Q1054" s="57"/>
      <c r="R1054" s="57"/>
      <c r="S1054" s="57"/>
      <c r="T1054" s="57"/>
      <c r="U1054" s="57"/>
      <c r="V1054" s="57"/>
      <c r="W1054" s="57"/>
      <c r="X1054" s="57"/>
      <c r="Y1054" s="57"/>
      <c r="Z1054" s="57"/>
      <c r="AA1054" s="57"/>
    </row>
    <row r="1055" spans="1:27">
      <c r="A1055" s="57"/>
      <c r="B1055" s="57"/>
      <c r="C1055" s="60"/>
      <c r="D1055" s="57"/>
      <c r="E1055" s="57"/>
      <c r="F1055" s="57"/>
      <c r="G1055" s="57"/>
      <c r="H1055" s="57"/>
      <c r="I1055" s="57"/>
      <c r="J1055" s="57"/>
      <c r="K1055" s="57"/>
      <c r="L1055" s="57"/>
      <c r="M1055" s="57"/>
      <c r="N1055" s="57"/>
      <c r="O1055" s="57"/>
      <c r="P1055" s="60"/>
      <c r="Q1055" s="57"/>
      <c r="R1055" s="57"/>
      <c r="S1055" s="57"/>
      <c r="T1055" s="57"/>
      <c r="U1055" s="57"/>
      <c r="V1055" s="57"/>
      <c r="W1055" s="57"/>
      <c r="X1055" s="57"/>
      <c r="Y1055" s="57"/>
      <c r="Z1055" s="57"/>
      <c r="AA1055" s="57"/>
    </row>
    <row r="1056" spans="1:27">
      <c r="A1056" s="57"/>
      <c r="B1056" s="57"/>
      <c r="C1056" s="60"/>
      <c r="D1056" s="57"/>
      <c r="E1056" s="57"/>
      <c r="F1056" s="57"/>
      <c r="G1056" s="57"/>
      <c r="H1056" s="57"/>
      <c r="I1056" s="57"/>
      <c r="J1056" s="57"/>
      <c r="K1056" s="57"/>
      <c r="L1056" s="57"/>
      <c r="M1056" s="57"/>
      <c r="N1056" s="57"/>
      <c r="O1056" s="57"/>
      <c r="P1056" s="60"/>
      <c r="Q1056" s="57"/>
      <c r="R1056" s="57"/>
      <c r="S1056" s="57"/>
      <c r="T1056" s="57"/>
      <c r="U1056" s="57"/>
      <c r="V1056" s="57"/>
      <c r="W1056" s="57"/>
      <c r="X1056" s="57"/>
      <c r="Y1056" s="57"/>
      <c r="Z1056" s="57"/>
      <c r="AA1056" s="57"/>
    </row>
    <row r="1057" spans="1:27">
      <c r="A1057" s="57"/>
      <c r="B1057" s="57"/>
      <c r="C1057" s="60"/>
      <c r="D1057" s="57"/>
      <c r="E1057" s="57"/>
      <c r="F1057" s="57"/>
      <c r="G1057" s="57"/>
      <c r="H1057" s="57"/>
      <c r="I1057" s="57"/>
      <c r="J1057" s="57"/>
      <c r="K1057" s="57"/>
      <c r="L1057" s="57"/>
      <c r="M1057" s="57"/>
      <c r="N1057" s="57"/>
      <c r="O1057" s="57"/>
      <c r="P1057" s="60"/>
      <c r="Q1057" s="57"/>
      <c r="R1057" s="57"/>
      <c r="S1057" s="57"/>
      <c r="T1057" s="57"/>
      <c r="U1057" s="57"/>
      <c r="V1057" s="57"/>
      <c r="W1057" s="57"/>
      <c r="X1057" s="57"/>
      <c r="Y1057" s="57"/>
      <c r="Z1057" s="57"/>
      <c r="AA1057" s="57"/>
    </row>
    <row r="1058" spans="1:27">
      <c r="A1058" s="57"/>
      <c r="B1058" s="57"/>
      <c r="C1058" s="60"/>
      <c r="D1058" s="57"/>
      <c r="E1058" s="57"/>
      <c r="F1058" s="57"/>
      <c r="G1058" s="57"/>
      <c r="H1058" s="57"/>
      <c r="I1058" s="57"/>
      <c r="J1058" s="57"/>
      <c r="K1058" s="57"/>
      <c r="L1058" s="57"/>
      <c r="M1058" s="57"/>
      <c r="N1058" s="57"/>
      <c r="O1058" s="57"/>
      <c r="P1058" s="60"/>
      <c r="Q1058" s="57"/>
      <c r="R1058" s="57"/>
      <c r="S1058" s="57"/>
      <c r="T1058" s="57"/>
      <c r="U1058" s="57"/>
      <c r="V1058" s="57"/>
      <c r="W1058" s="57"/>
      <c r="X1058" s="57"/>
      <c r="Y1058" s="57"/>
      <c r="Z1058" s="57"/>
      <c r="AA1058" s="57"/>
    </row>
    <row r="1059" spans="1:27">
      <c r="A1059" s="57"/>
      <c r="B1059" s="57"/>
      <c r="C1059" s="60"/>
      <c r="D1059" s="57"/>
      <c r="E1059" s="57"/>
      <c r="F1059" s="57"/>
      <c r="G1059" s="57"/>
      <c r="H1059" s="57"/>
      <c r="I1059" s="57"/>
      <c r="J1059" s="57"/>
      <c r="K1059" s="57"/>
      <c r="L1059" s="57"/>
      <c r="M1059" s="57"/>
      <c r="N1059" s="57"/>
      <c r="O1059" s="57"/>
      <c r="P1059" s="60"/>
      <c r="Q1059" s="57"/>
      <c r="R1059" s="57"/>
      <c r="S1059" s="57"/>
      <c r="T1059" s="57"/>
      <c r="U1059" s="57"/>
      <c r="V1059" s="57"/>
      <c r="W1059" s="57"/>
      <c r="X1059" s="57"/>
      <c r="Y1059" s="57"/>
      <c r="Z1059" s="57"/>
      <c r="AA1059" s="57"/>
    </row>
    <row r="1060" spans="1:27">
      <c r="A1060" s="57"/>
      <c r="B1060" s="57"/>
      <c r="C1060" s="60"/>
      <c r="D1060" s="57"/>
      <c r="E1060" s="57"/>
      <c r="F1060" s="57"/>
      <c r="G1060" s="57"/>
      <c r="H1060" s="57"/>
      <c r="I1060" s="57"/>
      <c r="J1060" s="57"/>
      <c r="K1060" s="57"/>
      <c r="L1060" s="57"/>
      <c r="M1060" s="57"/>
      <c r="N1060" s="57"/>
      <c r="O1060" s="57"/>
      <c r="P1060" s="60"/>
      <c r="Q1060" s="57"/>
      <c r="R1060" s="57"/>
      <c r="S1060" s="57"/>
      <c r="T1060" s="57"/>
      <c r="U1060" s="57"/>
      <c r="V1060" s="57"/>
      <c r="W1060" s="57"/>
      <c r="X1060" s="57"/>
      <c r="Y1060" s="57"/>
      <c r="Z1060" s="57"/>
      <c r="AA1060" s="57"/>
    </row>
    <row r="1061" spans="1:27">
      <c r="A1061" s="57"/>
      <c r="B1061" s="57"/>
      <c r="C1061" s="60"/>
      <c r="D1061" s="57"/>
      <c r="E1061" s="57"/>
      <c r="F1061" s="57"/>
      <c r="G1061" s="57"/>
      <c r="H1061" s="57"/>
      <c r="I1061" s="57"/>
      <c r="J1061" s="57"/>
      <c r="K1061" s="57"/>
      <c r="L1061" s="57"/>
      <c r="M1061" s="57"/>
      <c r="N1061" s="57"/>
      <c r="O1061" s="57"/>
      <c r="P1061" s="60"/>
      <c r="Q1061" s="57"/>
      <c r="R1061" s="57"/>
      <c r="S1061" s="57"/>
      <c r="T1061" s="57"/>
      <c r="U1061" s="57"/>
      <c r="V1061" s="57"/>
      <c r="W1061" s="57"/>
      <c r="X1061" s="57"/>
      <c r="Y1061" s="57"/>
      <c r="Z1061" s="57"/>
      <c r="AA1061" s="57"/>
    </row>
    <row r="1062" spans="1:27">
      <c r="A1062" s="57"/>
      <c r="B1062" s="57"/>
      <c r="C1062" s="60"/>
      <c r="D1062" s="57"/>
      <c r="E1062" s="57"/>
      <c r="F1062" s="57"/>
      <c r="G1062" s="57"/>
      <c r="H1062" s="57"/>
      <c r="I1062" s="57"/>
      <c r="J1062" s="57"/>
      <c r="K1062" s="57"/>
      <c r="L1062" s="57"/>
      <c r="M1062" s="57"/>
      <c r="N1062" s="57"/>
      <c r="O1062" s="57"/>
      <c r="P1062" s="60"/>
      <c r="Q1062" s="57"/>
      <c r="R1062" s="57"/>
      <c r="S1062" s="57"/>
      <c r="T1062" s="57"/>
      <c r="U1062" s="57"/>
      <c r="V1062" s="57"/>
      <c r="W1062" s="57"/>
      <c r="X1062" s="57"/>
      <c r="Y1062" s="57"/>
      <c r="Z1062" s="57"/>
      <c r="AA1062" s="57"/>
    </row>
    <row r="1063" spans="1:27">
      <c r="A1063" s="57"/>
      <c r="B1063" s="57"/>
      <c r="C1063" s="60"/>
      <c r="D1063" s="57"/>
      <c r="E1063" s="57"/>
      <c r="F1063" s="57"/>
      <c r="G1063" s="57"/>
      <c r="H1063" s="57"/>
      <c r="I1063" s="57"/>
      <c r="J1063" s="57"/>
      <c r="K1063" s="57"/>
      <c r="L1063" s="57"/>
      <c r="M1063" s="57"/>
      <c r="N1063" s="57"/>
      <c r="O1063" s="57"/>
      <c r="P1063" s="60"/>
      <c r="Q1063" s="57"/>
      <c r="R1063" s="57"/>
      <c r="S1063" s="57"/>
      <c r="T1063" s="57"/>
      <c r="U1063" s="57"/>
      <c r="V1063" s="57"/>
      <c r="W1063" s="57"/>
      <c r="X1063" s="57"/>
      <c r="Y1063" s="57"/>
      <c r="Z1063" s="57"/>
      <c r="AA1063" s="57"/>
    </row>
    <row r="1064" spans="1:27">
      <c r="A1064" s="57"/>
      <c r="B1064" s="57"/>
      <c r="C1064" s="60"/>
      <c r="D1064" s="57"/>
      <c r="E1064" s="57"/>
      <c r="F1064" s="57"/>
      <c r="G1064" s="57"/>
      <c r="H1064" s="57"/>
      <c r="I1064" s="57"/>
      <c r="J1064" s="57"/>
      <c r="K1064" s="57"/>
      <c r="L1064" s="57"/>
      <c r="M1064" s="57"/>
      <c r="N1064" s="57"/>
      <c r="O1064" s="57"/>
      <c r="P1064" s="60"/>
      <c r="Q1064" s="57"/>
      <c r="R1064" s="57"/>
      <c r="S1064" s="57"/>
      <c r="T1064" s="57"/>
      <c r="U1064" s="57"/>
      <c r="V1064" s="57"/>
      <c r="W1064" s="57"/>
      <c r="X1064" s="57"/>
      <c r="Y1064" s="57"/>
      <c r="Z1064" s="57"/>
      <c r="AA1064" s="57"/>
    </row>
    <row r="1065" spans="1:27">
      <c r="A1065" s="57"/>
      <c r="B1065" s="57"/>
      <c r="C1065" s="60"/>
      <c r="D1065" s="57"/>
      <c r="E1065" s="57"/>
      <c r="F1065" s="57"/>
      <c r="G1065" s="57"/>
      <c r="H1065" s="57"/>
      <c r="I1065" s="57"/>
      <c r="J1065" s="57"/>
      <c r="K1065" s="57"/>
      <c r="L1065" s="57"/>
      <c r="M1065" s="57"/>
      <c r="N1065" s="57"/>
      <c r="O1065" s="57"/>
      <c r="P1065" s="60"/>
      <c r="Q1065" s="57"/>
      <c r="R1065" s="57"/>
      <c r="S1065" s="57"/>
      <c r="T1065" s="57"/>
      <c r="U1065" s="57"/>
      <c r="V1065" s="57"/>
      <c r="W1065" s="57"/>
      <c r="X1065" s="57"/>
      <c r="Y1065" s="57"/>
      <c r="Z1065" s="57"/>
      <c r="AA1065" s="57"/>
    </row>
    <row r="1066" spans="1:27">
      <c r="A1066" s="57"/>
      <c r="B1066" s="57"/>
      <c r="C1066" s="60"/>
      <c r="D1066" s="57"/>
      <c r="E1066" s="57"/>
      <c r="F1066" s="57"/>
      <c r="G1066" s="57"/>
      <c r="H1066" s="57"/>
      <c r="I1066" s="57"/>
      <c r="J1066" s="57"/>
      <c r="K1066" s="57"/>
      <c r="L1066" s="57"/>
      <c r="M1066" s="57"/>
      <c r="N1066" s="57"/>
      <c r="O1066" s="57"/>
      <c r="P1066" s="60"/>
      <c r="Q1066" s="57"/>
      <c r="R1066" s="57"/>
      <c r="S1066" s="57"/>
      <c r="T1066" s="57"/>
      <c r="U1066" s="57"/>
      <c r="V1066" s="57"/>
      <c r="W1066" s="57"/>
      <c r="X1066" s="57"/>
      <c r="Y1066" s="57"/>
      <c r="Z1066" s="57"/>
      <c r="AA1066" s="57"/>
    </row>
    <row r="1067" spans="1:27">
      <c r="A1067" s="57"/>
      <c r="B1067" s="57"/>
      <c r="C1067" s="60"/>
      <c r="D1067" s="57"/>
      <c r="E1067" s="57"/>
      <c r="F1067" s="57"/>
      <c r="G1067" s="57"/>
      <c r="H1067" s="57"/>
      <c r="I1067" s="57"/>
      <c r="J1067" s="57"/>
      <c r="K1067" s="57"/>
      <c r="L1067" s="57"/>
      <c r="M1067" s="57"/>
      <c r="N1067" s="57"/>
      <c r="O1067" s="57"/>
      <c r="P1067" s="60"/>
      <c r="Q1067" s="57"/>
      <c r="R1067" s="57"/>
      <c r="S1067" s="57"/>
      <c r="T1067" s="57"/>
      <c r="U1067" s="57"/>
      <c r="V1067" s="57"/>
      <c r="W1067" s="57"/>
      <c r="X1067" s="57"/>
      <c r="Y1067" s="57"/>
      <c r="Z1067" s="57"/>
      <c r="AA1067" s="57"/>
    </row>
    <row r="1068" spans="1:27">
      <c r="A1068" s="57"/>
      <c r="B1068" s="57"/>
      <c r="C1068" s="60"/>
      <c r="D1068" s="57"/>
      <c r="E1068" s="57"/>
      <c r="F1068" s="57"/>
      <c r="G1068" s="57"/>
      <c r="H1068" s="57"/>
      <c r="I1068" s="57"/>
      <c r="J1068" s="57"/>
      <c r="K1068" s="57"/>
      <c r="L1068" s="57"/>
      <c r="M1068" s="57"/>
      <c r="N1068" s="57"/>
      <c r="O1068" s="57"/>
      <c r="P1068" s="60"/>
      <c r="Q1068" s="57"/>
      <c r="R1068" s="57"/>
      <c r="S1068" s="57"/>
      <c r="T1068" s="57"/>
      <c r="U1068" s="57"/>
      <c r="V1068" s="57"/>
      <c r="W1068" s="57"/>
      <c r="X1068" s="57"/>
      <c r="Y1068" s="57"/>
      <c r="Z1068" s="57"/>
      <c r="AA1068" s="57"/>
    </row>
    <row r="1069" spans="1:27">
      <c r="A1069" s="57"/>
      <c r="B1069" s="57"/>
      <c r="C1069" s="60"/>
      <c r="D1069" s="57"/>
      <c r="E1069" s="57"/>
      <c r="F1069" s="57"/>
      <c r="G1069" s="57"/>
      <c r="H1069" s="57"/>
      <c r="I1069" s="57"/>
      <c r="J1069" s="57"/>
      <c r="K1069" s="57"/>
      <c r="L1069" s="57"/>
      <c r="M1069" s="57"/>
      <c r="N1069" s="57"/>
      <c r="O1069" s="57"/>
      <c r="P1069" s="60"/>
      <c r="Q1069" s="57"/>
      <c r="R1069" s="57"/>
      <c r="S1069" s="57"/>
      <c r="T1069" s="57"/>
      <c r="U1069" s="57"/>
      <c r="V1069" s="57"/>
      <c r="W1069" s="57"/>
      <c r="X1069" s="57"/>
      <c r="Y1069" s="57"/>
      <c r="Z1069" s="57"/>
      <c r="AA1069" s="57"/>
    </row>
    <row r="1070" spans="1:27">
      <c r="A1070" s="57"/>
      <c r="B1070" s="57"/>
      <c r="C1070" s="60"/>
      <c r="D1070" s="57"/>
      <c r="E1070" s="57"/>
      <c r="F1070" s="57"/>
      <c r="G1070" s="57"/>
      <c r="H1070" s="57"/>
      <c r="I1070" s="57"/>
      <c r="J1070" s="57"/>
      <c r="K1070" s="57"/>
      <c r="L1070" s="57"/>
      <c r="M1070" s="57"/>
      <c r="N1070" s="57"/>
      <c r="O1070" s="57"/>
      <c r="P1070" s="60"/>
      <c r="Q1070" s="57"/>
      <c r="R1070" s="57"/>
      <c r="S1070" s="57"/>
      <c r="T1070" s="57"/>
      <c r="U1070" s="57"/>
      <c r="V1070" s="57"/>
      <c r="W1070" s="57"/>
      <c r="X1070" s="57"/>
      <c r="Y1070" s="57"/>
      <c r="Z1070" s="57"/>
      <c r="AA1070" s="57"/>
    </row>
    <row r="1071" spans="1:27">
      <c r="A1071" s="57"/>
      <c r="B1071" s="57"/>
      <c r="C1071" s="60"/>
      <c r="D1071" s="57"/>
      <c r="E1071" s="57"/>
      <c r="F1071" s="57"/>
      <c r="G1071" s="57"/>
      <c r="H1071" s="57"/>
      <c r="I1071" s="57"/>
      <c r="J1071" s="57"/>
      <c r="K1071" s="57"/>
      <c r="L1071" s="57"/>
      <c r="M1071" s="57"/>
      <c r="N1071" s="57"/>
      <c r="O1071" s="57"/>
      <c r="P1071" s="60"/>
      <c r="Q1071" s="57"/>
      <c r="R1071" s="57"/>
      <c r="S1071" s="57"/>
      <c r="T1071" s="57"/>
      <c r="U1071" s="57"/>
      <c r="V1071" s="57"/>
      <c r="W1071" s="57"/>
      <c r="X1071" s="57"/>
      <c r="Y1071" s="57"/>
      <c r="Z1071" s="57"/>
      <c r="AA1071" s="57"/>
    </row>
    <row r="1072" spans="1:27">
      <c r="A1072" s="57"/>
      <c r="B1072" s="57"/>
      <c r="C1072" s="60"/>
      <c r="D1072" s="57"/>
      <c r="E1072" s="57"/>
      <c r="F1072" s="57"/>
      <c r="G1072" s="57"/>
      <c r="H1072" s="57"/>
      <c r="I1072" s="57"/>
      <c r="J1072" s="57"/>
      <c r="K1072" s="57"/>
      <c r="L1072" s="57"/>
      <c r="M1072" s="57"/>
      <c r="N1072" s="57"/>
      <c r="O1072" s="57"/>
      <c r="P1072" s="60"/>
      <c r="Q1072" s="57"/>
      <c r="R1072" s="57"/>
      <c r="S1072" s="57"/>
      <c r="T1072" s="57"/>
      <c r="U1072" s="57"/>
      <c r="V1072" s="57"/>
      <c r="W1072" s="57"/>
      <c r="X1072" s="57"/>
      <c r="Y1072" s="57"/>
      <c r="Z1072" s="57"/>
      <c r="AA1072" s="57"/>
    </row>
    <row r="1073" spans="1:27">
      <c r="A1073" s="57"/>
      <c r="B1073" s="57"/>
      <c r="C1073" s="60"/>
      <c r="D1073" s="57"/>
      <c r="E1073" s="57"/>
      <c r="F1073" s="57"/>
      <c r="G1073" s="57"/>
      <c r="H1073" s="57"/>
      <c r="I1073" s="57"/>
      <c r="J1073" s="57"/>
      <c r="K1073" s="57"/>
      <c r="L1073" s="57"/>
      <c r="M1073" s="57"/>
      <c r="N1073" s="57"/>
      <c r="O1073" s="57"/>
      <c r="P1073" s="60"/>
      <c r="Q1073" s="57"/>
      <c r="R1073" s="57"/>
      <c r="S1073" s="57"/>
      <c r="T1073" s="57"/>
      <c r="U1073" s="57"/>
      <c r="V1073" s="57"/>
      <c r="W1073" s="57"/>
      <c r="X1073" s="57"/>
      <c r="Y1073" s="57"/>
      <c r="Z1073" s="57"/>
      <c r="AA1073" s="57"/>
    </row>
    <row r="1074" spans="1:27">
      <c r="A1074" s="57"/>
      <c r="B1074" s="57"/>
      <c r="C1074" s="60"/>
      <c r="D1074" s="57"/>
      <c r="E1074" s="57"/>
      <c r="F1074" s="57"/>
      <c r="G1074" s="57"/>
      <c r="H1074" s="57"/>
      <c r="I1074" s="57"/>
      <c r="J1074" s="57"/>
      <c r="K1074" s="57"/>
      <c r="L1074" s="57"/>
      <c r="M1074" s="57"/>
      <c r="N1074" s="57"/>
      <c r="O1074" s="57"/>
      <c r="P1074" s="60"/>
      <c r="Q1074" s="57"/>
      <c r="R1074" s="57"/>
      <c r="S1074" s="57"/>
      <c r="T1074" s="57"/>
      <c r="U1074" s="57"/>
      <c r="V1074" s="57"/>
      <c r="W1074" s="57"/>
      <c r="X1074" s="57"/>
      <c r="Y1074" s="57"/>
      <c r="Z1074" s="57"/>
      <c r="AA1074" s="57"/>
    </row>
    <row r="1075" spans="1:27">
      <c r="A1075" s="57"/>
      <c r="B1075" s="57"/>
      <c r="C1075" s="60"/>
      <c r="D1075" s="57"/>
      <c r="E1075" s="57"/>
      <c r="F1075" s="57"/>
      <c r="G1075" s="57"/>
      <c r="H1075" s="57"/>
      <c r="I1075" s="57"/>
      <c r="J1075" s="57"/>
      <c r="K1075" s="57"/>
      <c r="L1075" s="57"/>
      <c r="M1075" s="57"/>
      <c r="N1075" s="57"/>
      <c r="O1075" s="57"/>
      <c r="P1075" s="60"/>
      <c r="Q1075" s="57"/>
      <c r="R1075" s="57"/>
      <c r="S1075" s="57"/>
      <c r="T1075" s="57"/>
      <c r="U1075" s="57"/>
      <c r="V1075" s="57"/>
      <c r="W1075" s="57"/>
      <c r="X1075" s="57"/>
      <c r="Y1075" s="57"/>
      <c r="Z1075" s="57"/>
      <c r="AA1075" s="57"/>
    </row>
    <row r="1076" spans="1:27">
      <c r="A1076" s="57"/>
      <c r="B1076" s="57"/>
      <c r="C1076" s="60"/>
      <c r="D1076" s="57"/>
      <c r="E1076" s="57"/>
      <c r="F1076" s="57"/>
      <c r="G1076" s="57"/>
      <c r="H1076" s="57"/>
      <c r="I1076" s="57"/>
      <c r="J1076" s="57"/>
      <c r="K1076" s="57"/>
      <c r="L1076" s="57"/>
      <c r="M1076" s="57"/>
      <c r="N1076" s="57"/>
      <c r="O1076" s="57"/>
      <c r="P1076" s="60"/>
      <c r="Q1076" s="57"/>
      <c r="R1076" s="57"/>
      <c r="S1076" s="57"/>
      <c r="T1076" s="57"/>
      <c r="U1076" s="57"/>
      <c r="V1076" s="57"/>
      <c r="W1076" s="57"/>
      <c r="X1076" s="57"/>
      <c r="Y1076" s="57"/>
      <c r="Z1076" s="57"/>
      <c r="AA1076" s="57"/>
    </row>
    <row r="1077" spans="1:27">
      <c r="A1077" s="57"/>
      <c r="B1077" s="57"/>
      <c r="C1077" s="60"/>
      <c r="D1077" s="57"/>
      <c r="E1077" s="57"/>
      <c r="F1077" s="57"/>
      <c r="G1077" s="57"/>
      <c r="H1077" s="57"/>
      <c r="I1077" s="57"/>
      <c r="J1077" s="57"/>
      <c r="K1077" s="57"/>
      <c r="L1077" s="57"/>
      <c r="M1077" s="57"/>
      <c r="N1077" s="57"/>
      <c r="O1077" s="57"/>
      <c r="P1077" s="60"/>
      <c r="Q1077" s="57"/>
      <c r="R1077" s="57"/>
      <c r="S1077" s="57"/>
      <c r="T1077" s="57"/>
      <c r="U1077" s="57"/>
      <c r="V1077" s="57"/>
      <c r="W1077" s="57"/>
      <c r="X1077" s="57"/>
      <c r="Y1077" s="57"/>
      <c r="Z1077" s="57"/>
      <c r="AA1077" s="57"/>
    </row>
    <row r="1078" spans="1:27">
      <c r="A1078" s="57"/>
      <c r="B1078" s="57"/>
      <c r="C1078" s="60"/>
      <c r="D1078" s="57"/>
      <c r="E1078" s="57"/>
      <c r="F1078" s="57"/>
      <c r="G1078" s="57"/>
      <c r="H1078" s="57"/>
      <c r="I1078" s="57"/>
      <c r="J1078" s="57"/>
      <c r="K1078" s="57"/>
      <c r="L1078" s="57"/>
      <c r="M1078" s="57"/>
      <c r="N1078" s="57"/>
      <c r="O1078" s="57"/>
      <c r="P1078" s="60"/>
      <c r="Q1078" s="57"/>
      <c r="R1078" s="57"/>
      <c r="S1078" s="57"/>
      <c r="T1078" s="57"/>
      <c r="U1078" s="57"/>
      <c r="V1078" s="57"/>
      <c r="W1078" s="57"/>
      <c r="X1078" s="57"/>
      <c r="Y1078" s="57"/>
      <c r="Z1078" s="57"/>
      <c r="AA1078" s="57"/>
    </row>
    <row r="1079" spans="1:27">
      <c r="A1079" s="57"/>
      <c r="B1079" s="57"/>
      <c r="C1079" s="60"/>
      <c r="D1079" s="57"/>
      <c r="E1079" s="57"/>
      <c r="F1079" s="57"/>
      <c r="G1079" s="57"/>
      <c r="H1079" s="57"/>
      <c r="I1079" s="57"/>
      <c r="J1079" s="57"/>
      <c r="K1079" s="57"/>
      <c r="L1079" s="57"/>
      <c r="M1079" s="57"/>
      <c r="N1079" s="57"/>
      <c r="O1079" s="57"/>
      <c r="P1079" s="60"/>
      <c r="Q1079" s="57"/>
      <c r="R1079" s="57"/>
      <c r="S1079" s="57"/>
      <c r="T1079" s="57"/>
      <c r="U1079" s="57"/>
      <c r="V1079" s="57"/>
      <c r="W1079" s="57"/>
      <c r="X1079" s="57"/>
      <c r="Y1079" s="57"/>
      <c r="Z1079" s="57"/>
      <c r="AA1079" s="57"/>
    </row>
    <row r="1080" spans="1:27">
      <c r="A1080" s="57"/>
      <c r="B1080" s="57"/>
      <c r="C1080" s="60"/>
      <c r="D1080" s="57"/>
      <c r="E1080" s="57"/>
      <c r="F1080" s="57"/>
      <c r="G1080" s="57"/>
      <c r="H1080" s="57"/>
      <c r="I1080" s="57"/>
      <c r="J1080" s="57"/>
      <c r="K1080" s="57"/>
      <c r="L1080" s="57"/>
      <c r="M1080" s="57"/>
      <c r="N1080" s="57"/>
      <c r="O1080" s="57"/>
      <c r="P1080" s="60"/>
      <c r="Q1080" s="57"/>
      <c r="R1080" s="57"/>
      <c r="S1080" s="57"/>
      <c r="T1080" s="57"/>
      <c r="U1080" s="57"/>
      <c r="V1080" s="57"/>
      <c r="W1080" s="57"/>
      <c r="X1080" s="57"/>
      <c r="Y1080" s="57"/>
      <c r="Z1080" s="57"/>
      <c r="AA1080" s="57"/>
    </row>
    <row r="1081" spans="1:27">
      <c r="A1081" s="57"/>
      <c r="B1081" s="57"/>
      <c r="C1081" s="60"/>
      <c r="D1081" s="57"/>
      <c r="E1081" s="57"/>
      <c r="F1081" s="57"/>
      <c r="G1081" s="57"/>
      <c r="H1081" s="57"/>
      <c r="I1081" s="57"/>
      <c r="J1081" s="57"/>
      <c r="K1081" s="57"/>
      <c r="L1081" s="57"/>
      <c r="M1081" s="57"/>
      <c r="N1081" s="57"/>
      <c r="O1081" s="57"/>
      <c r="P1081" s="60"/>
      <c r="Q1081" s="57"/>
      <c r="R1081" s="57"/>
      <c r="S1081" s="57"/>
      <c r="T1081" s="57"/>
      <c r="U1081" s="57"/>
      <c r="V1081" s="57"/>
      <c r="W1081" s="57"/>
      <c r="X1081" s="57"/>
      <c r="Y1081" s="57"/>
      <c r="Z1081" s="57"/>
      <c r="AA1081" s="57"/>
    </row>
    <row r="1082" spans="1:27">
      <c r="A1082" s="57"/>
      <c r="B1082" s="57"/>
      <c r="C1082" s="60"/>
      <c r="D1082" s="57"/>
      <c r="E1082" s="57"/>
      <c r="F1082" s="57"/>
      <c r="G1082" s="57"/>
      <c r="H1082" s="57"/>
      <c r="I1082" s="57"/>
      <c r="J1082" s="57"/>
      <c r="K1082" s="57"/>
      <c r="L1082" s="57"/>
      <c r="M1082" s="57"/>
      <c r="N1082" s="57"/>
      <c r="O1082" s="57"/>
      <c r="P1082" s="60"/>
      <c r="Q1082" s="57"/>
      <c r="R1082" s="57"/>
      <c r="S1082" s="57"/>
      <c r="T1082" s="57"/>
      <c r="U1082" s="57"/>
      <c r="V1082" s="57"/>
      <c r="W1082" s="57"/>
      <c r="X1082" s="57"/>
      <c r="Y1082" s="57"/>
      <c r="Z1082" s="57"/>
      <c r="AA1082" s="57"/>
    </row>
    <row r="1083" spans="1:27">
      <c r="A1083" s="57"/>
      <c r="B1083" s="57"/>
      <c r="C1083" s="60"/>
      <c r="D1083" s="57"/>
      <c r="E1083" s="57"/>
      <c r="F1083" s="57"/>
      <c r="G1083" s="57"/>
      <c r="H1083" s="57"/>
      <c r="I1083" s="57"/>
      <c r="J1083" s="57"/>
      <c r="K1083" s="57"/>
      <c r="L1083" s="57"/>
      <c r="M1083" s="57"/>
      <c r="N1083" s="57"/>
      <c r="O1083" s="57"/>
      <c r="P1083" s="60"/>
      <c r="Q1083" s="57"/>
      <c r="R1083" s="57"/>
      <c r="S1083" s="57"/>
      <c r="T1083" s="57"/>
      <c r="U1083" s="57"/>
      <c r="V1083" s="57"/>
      <c r="W1083" s="57"/>
      <c r="X1083" s="57"/>
      <c r="Y1083" s="57"/>
      <c r="Z1083" s="57"/>
      <c r="AA1083" s="57"/>
    </row>
    <row r="1084" spans="1:27">
      <c r="A1084" s="57"/>
      <c r="B1084" s="57"/>
      <c r="C1084" s="60"/>
      <c r="D1084" s="57"/>
      <c r="E1084" s="57"/>
      <c r="F1084" s="57"/>
      <c r="G1084" s="57"/>
      <c r="H1084" s="57"/>
      <c r="I1084" s="57"/>
      <c r="J1084" s="57"/>
      <c r="K1084" s="57"/>
      <c r="L1084" s="57"/>
      <c r="M1084" s="57"/>
      <c r="N1084" s="57"/>
      <c r="O1084" s="57"/>
      <c r="P1084" s="60"/>
      <c r="Q1084" s="57"/>
      <c r="R1084" s="57"/>
      <c r="S1084" s="57"/>
      <c r="T1084" s="57"/>
      <c r="U1084" s="57"/>
      <c r="V1084" s="57"/>
      <c r="W1084" s="57"/>
      <c r="X1084" s="57"/>
      <c r="Y1084" s="57"/>
      <c r="Z1084" s="57"/>
      <c r="AA1084" s="57"/>
    </row>
    <row r="1085" spans="1:27">
      <c r="A1085" s="57"/>
      <c r="B1085" s="57"/>
      <c r="C1085" s="60"/>
      <c r="D1085" s="57"/>
      <c r="E1085" s="57"/>
      <c r="F1085" s="57"/>
      <c r="G1085" s="57"/>
      <c r="H1085" s="57"/>
      <c r="I1085" s="57"/>
      <c r="J1085" s="57"/>
      <c r="K1085" s="57"/>
      <c r="L1085" s="57"/>
      <c r="M1085" s="57"/>
      <c r="N1085" s="57"/>
      <c r="O1085" s="57"/>
      <c r="P1085" s="60"/>
      <c r="Q1085" s="57"/>
      <c r="R1085" s="57"/>
      <c r="S1085" s="57"/>
      <c r="T1085" s="57"/>
      <c r="U1085" s="57"/>
      <c r="V1085" s="57"/>
      <c r="W1085" s="57"/>
      <c r="X1085" s="57"/>
      <c r="Y1085" s="57"/>
      <c r="Z1085" s="57"/>
      <c r="AA1085" s="57"/>
    </row>
    <row r="1086" spans="1:27">
      <c r="A1086" s="57"/>
      <c r="B1086" s="57"/>
      <c r="C1086" s="60"/>
      <c r="D1086" s="57"/>
      <c r="E1086" s="57"/>
      <c r="F1086" s="57"/>
      <c r="G1086" s="57"/>
      <c r="H1086" s="57"/>
      <c r="I1086" s="57"/>
      <c r="J1086" s="57"/>
      <c r="K1086" s="57"/>
      <c r="L1086" s="57"/>
      <c r="M1086" s="57"/>
      <c r="N1086" s="57"/>
      <c r="O1086" s="57"/>
      <c r="P1086" s="60"/>
      <c r="Q1086" s="57"/>
      <c r="R1086" s="57"/>
      <c r="S1086" s="57"/>
      <c r="T1086" s="57"/>
      <c r="U1086" s="57"/>
      <c r="V1086" s="57"/>
      <c r="W1086" s="57"/>
      <c r="X1086" s="57"/>
      <c r="Y1086" s="57"/>
      <c r="Z1086" s="57"/>
      <c r="AA1086" s="57"/>
    </row>
    <row r="1087" spans="1:27">
      <c r="A1087" s="57"/>
      <c r="B1087" s="57"/>
      <c r="C1087" s="60"/>
      <c r="D1087" s="57"/>
      <c r="E1087" s="57"/>
      <c r="F1087" s="57"/>
      <c r="G1087" s="57"/>
      <c r="H1087" s="57"/>
      <c r="I1087" s="57"/>
      <c r="J1087" s="57"/>
      <c r="K1087" s="57"/>
      <c r="L1087" s="57"/>
      <c r="M1087" s="57"/>
      <c r="N1087" s="57"/>
      <c r="O1087" s="57"/>
      <c r="P1087" s="60"/>
      <c r="Q1087" s="57"/>
      <c r="R1087" s="57"/>
      <c r="S1087" s="57"/>
      <c r="T1087" s="57"/>
      <c r="U1087" s="57"/>
      <c r="V1087" s="57"/>
      <c r="W1087" s="57"/>
      <c r="X1087" s="57"/>
      <c r="Y1087" s="57"/>
      <c r="Z1087" s="57"/>
      <c r="AA1087" s="57"/>
    </row>
    <row r="1088" spans="1:27">
      <c r="A1088" s="57"/>
      <c r="B1088" s="57"/>
      <c r="C1088" s="60"/>
      <c r="D1088" s="57"/>
      <c r="E1088" s="57"/>
      <c r="F1088" s="57"/>
      <c r="G1088" s="57"/>
      <c r="H1088" s="57"/>
      <c r="I1088" s="57"/>
      <c r="J1088" s="57"/>
      <c r="K1088" s="57"/>
      <c r="L1088" s="57"/>
      <c r="M1088" s="57"/>
      <c r="N1088" s="57"/>
      <c r="O1088" s="57"/>
      <c r="P1088" s="60"/>
      <c r="Q1088" s="57"/>
      <c r="R1088" s="57"/>
      <c r="S1088" s="57"/>
      <c r="T1088" s="57"/>
      <c r="U1088" s="57"/>
      <c r="V1088" s="57"/>
      <c r="W1088" s="57"/>
      <c r="X1088" s="57"/>
      <c r="Y1088" s="57"/>
      <c r="Z1088" s="57"/>
      <c r="AA1088" s="57"/>
    </row>
    <row r="1089" spans="1:27">
      <c r="A1089" s="57"/>
      <c r="B1089" s="57"/>
      <c r="C1089" s="60"/>
      <c r="D1089" s="57"/>
      <c r="E1089" s="57"/>
      <c r="F1089" s="57"/>
      <c r="G1089" s="57"/>
      <c r="H1089" s="57"/>
      <c r="I1089" s="57"/>
      <c r="J1089" s="57"/>
      <c r="K1089" s="57"/>
      <c r="L1089" s="57"/>
      <c r="M1089" s="57"/>
      <c r="N1089" s="57"/>
      <c r="O1089" s="57"/>
      <c r="P1089" s="60"/>
      <c r="Q1089" s="57"/>
      <c r="R1089" s="57"/>
      <c r="S1089" s="57"/>
      <c r="T1089" s="57"/>
      <c r="U1089" s="57"/>
      <c r="V1089" s="57"/>
      <c r="W1089" s="57"/>
      <c r="X1089" s="57"/>
      <c r="Y1089" s="57"/>
      <c r="Z1089" s="57"/>
      <c r="AA1089" s="57"/>
    </row>
    <row r="1090" spans="1:27">
      <c r="A1090" s="57"/>
      <c r="B1090" s="57"/>
      <c r="C1090" s="60"/>
      <c r="D1090" s="57"/>
      <c r="E1090" s="57"/>
      <c r="F1090" s="57"/>
      <c r="G1090" s="57"/>
      <c r="H1090" s="57"/>
      <c r="I1090" s="57"/>
      <c r="J1090" s="57"/>
      <c r="K1090" s="57"/>
      <c r="L1090" s="57"/>
      <c r="M1090" s="57"/>
      <c r="N1090" s="57"/>
      <c r="O1090" s="57"/>
      <c r="P1090" s="60"/>
      <c r="Q1090" s="57"/>
      <c r="R1090" s="57"/>
      <c r="S1090" s="57"/>
      <c r="T1090" s="57"/>
      <c r="U1090" s="57"/>
      <c r="V1090" s="57"/>
      <c r="W1090" s="57"/>
      <c r="X1090" s="57"/>
      <c r="Y1090" s="57"/>
      <c r="Z1090" s="57"/>
      <c r="AA1090" s="57"/>
    </row>
    <row r="1091" spans="1:27">
      <c r="A1091" s="57"/>
      <c r="B1091" s="57"/>
      <c r="C1091" s="60"/>
      <c r="D1091" s="57"/>
      <c r="E1091" s="57"/>
      <c r="F1091" s="57"/>
      <c r="G1091" s="57"/>
      <c r="H1091" s="57"/>
      <c r="I1091" s="57"/>
      <c r="J1091" s="57"/>
      <c r="K1091" s="57"/>
      <c r="L1091" s="57"/>
      <c r="M1091" s="57"/>
      <c r="N1091" s="57"/>
      <c r="O1091" s="57"/>
      <c r="P1091" s="60"/>
      <c r="Q1091" s="57"/>
      <c r="R1091" s="57"/>
      <c r="S1091" s="57"/>
      <c r="T1091" s="57"/>
      <c r="U1091" s="57"/>
      <c r="V1091" s="57"/>
      <c r="W1091" s="57"/>
      <c r="X1091" s="57"/>
      <c r="Y1091" s="57"/>
      <c r="Z1091" s="57"/>
      <c r="AA1091" s="57"/>
    </row>
    <row r="1092" spans="1:27">
      <c r="A1092" s="57"/>
      <c r="B1092" s="57"/>
      <c r="C1092" s="60"/>
      <c r="D1092" s="57"/>
      <c r="E1092" s="57"/>
      <c r="F1092" s="57"/>
      <c r="G1092" s="57"/>
      <c r="H1092" s="57"/>
      <c r="I1092" s="57"/>
      <c r="J1092" s="57"/>
      <c r="K1092" s="57"/>
      <c r="L1092" s="57"/>
      <c r="M1092" s="57"/>
      <c r="N1092" s="57"/>
      <c r="O1092" s="57"/>
      <c r="P1092" s="60"/>
      <c r="Q1092" s="57"/>
      <c r="R1092" s="57"/>
      <c r="S1092" s="57"/>
      <c r="T1092" s="57"/>
      <c r="U1092" s="57"/>
      <c r="V1092" s="57"/>
      <c r="W1092" s="57"/>
      <c r="X1092" s="57"/>
      <c r="Y1092" s="57"/>
      <c r="Z1092" s="57"/>
      <c r="AA1092" s="57"/>
    </row>
    <row r="1093" spans="1:27">
      <c r="A1093" s="57"/>
      <c r="B1093" s="57"/>
      <c r="C1093" s="60"/>
      <c r="D1093" s="57"/>
      <c r="E1093" s="57"/>
      <c r="F1093" s="57"/>
      <c r="G1093" s="57"/>
      <c r="H1093" s="57"/>
      <c r="I1093" s="57"/>
      <c r="J1093" s="57"/>
      <c r="K1093" s="57"/>
      <c r="L1093" s="57"/>
      <c r="M1093" s="57"/>
      <c r="N1093" s="57"/>
      <c r="O1093" s="57"/>
      <c r="P1093" s="60"/>
      <c r="Q1093" s="57"/>
      <c r="R1093" s="57"/>
      <c r="S1093" s="57"/>
      <c r="T1093" s="57"/>
      <c r="U1093" s="57"/>
      <c r="V1093" s="57"/>
      <c r="W1093" s="57"/>
      <c r="X1093" s="57"/>
      <c r="Y1093" s="57"/>
      <c r="Z1093" s="57"/>
      <c r="AA1093" s="57"/>
    </row>
    <row r="1094" spans="1:27">
      <c r="A1094" s="57"/>
      <c r="B1094" s="57"/>
      <c r="C1094" s="60"/>
      <c r="D1094" s="57"/>
      <c r="E1094" s="57"/>
      <c r="F1094" s="57"/>
      <c r="G1094" s="57"/>
      <c r="H1094" s="57"/>
      <c r="I1094" s="57"/>
      <c r="J1094" s="57"/>
      <c r="K1094" s="57"/>
      <c r="L1094" s="57"/>
      <c r="M1094" s="57"/>
      <c r="N1094" s="57"/>
      <c r="O1094" s="57"/>
      <c r="P1094" s="60"/>
      <c r="Q1094" s="57"/>
      <c r="R1094" s="57"/>
      <c r="S1094" s="57"/>
      <c r="T1094" s="57"/>
      <c r="U1094" s="57"/>
      <c r="V1094" s="57"/>
      <c r="W1094" s="57"/>
      <c r="X1094" s="57"/>
      <c r="Y1094" s="57"/>
      <c r="Z1094" s="57"/>
      <c r="AA1094" s="57"/>
    </row>
    <row r="1095" spans="1:27">
      <c r="A1095" s="57"/>
      <c r="B1095" s="57"/>
      <c r="C1095" s="60"/>
      <c r="D1095" s="57"/>
      <c r="E1095" s="57"/>
      <c r="F1095" s="57"/>
      <c r="G1095" s="57"/>
      <c r="H1095" s="57"/>
      <c r="I1095" s="57"/>
      <c r="J1095" s="57"/>
      <c r="K1095" s="57"/>
      <c r="L1095" s="57"/>
      <c r="M1095" s="57"/>
      <c r="N1095" s="57"/>
      <c r="O1095" s="57"/>
      <c r="P1095" s="60"/>
      <c r="Q1095" s="57"/>
      <c r="R1095" s="57"/>
      <c r="S1095" s="57"/>
      <c r="T1095" s="57"/>
      <c r="U1095" s="57"/>
      <c r="V1095" s="57"/>
      <c r="W1095" s="57"/>
      <c r="X1095" s="57"/>
      <c r="Y1095" s="57"/>
      <c r="Z1095" s="57"/>
      <c r="AA1095" s="57"/>
    </row>
    <row r="1096" spans="1:27">
      <c r="A1096" s="57"/>
      <c r="B1096" s="57"/>
      <c r="C1096" s="60"/>
      <c r="D1096" s="57"/>
      <c r="E1096" s="57"/>
      <c r="F1096" s="57"/>
      <c r="G1096" s="57"/>
      <c r="H1096" s="57"/>
      <c r="I1096" s="57"/>
      <c r="J1096" s="57"/>
      <c r="K1096" s="57"/>
      <c r="L1096" s="57"/>
      <c r="M1096" s="57"/>
      <c r="N1096" s="57"/>
      <c r="O1096" s="57"/>
      <c r="P1096" s="60"/>
      <c r="Q1096" s="57"/>
      <c r="R1096" s="57"/>
      <c r="S1096" s="57"/>
      <c r="T1096" s="57"/>
      <c r="U1096" s="57"/>
      <c r="V1096" s="57"/>
      <c r="W1096" s="57"/>
      <c r="X1096" s="57"/>
      <c r="Y1096" s="57"/>
      <c r="Z1096" s="57"/>
      <c r="AA1096" s="57"/>
    </row>
    <row r="1097" spans="1:27">
      <c r="A1097" s="57"/>
      <c r="B1097" s="57"/>
      <c r="C1097" s="60"/>
      <c r="D1097" s="57"/>
      <c r="E1097" s="57"/>
      <c r="F1097" s="57"/>
      <c r="G1097" s="57"/>
      <c r="H1097" s="57"/>
      <c r="I1097" s="57"/>
      <c r="J1097" s="57"/>
      <c r="K1097" s="57"/>
      <c r="L1097" s="57"/>
      <c r="M1097" s="57"/>
      <c r="N1097" s="57"/>
      <c r="O1097" s="57"/>
      <c r="P1097" s="60"/>
      <c r="Q1097" s="57"/>
      <c r="R1097" s="57"/>
      <c r="S1097" s="57"/>
      <c r="T1097" s="57"/>
      <c r="U1097" s="57"/>
      <c r="V1097" s="57"/>
      <c r="W1097" s="57"/>
      <c r="X1097" s="57"/>
      <c r="Y1097" s="57"/>
      <c r="Z1097" s="57"/>
      <c r="AA1097" s="57"/>
    </row>
    <row r="1098" spans="1:27">
      <c r="A1098" s="57"/>
      <c r="B1098" s="57"/>
      <c r="C1098" s="60"/>
      <c r="D1098" s="57"/>
      <c r="E1098" s="57"/>
      <c r="F1098" s="57"/>
      <c r="G1098" s="57"/>
      <c r="H1098" s="57"/>
      <c r="I1098" s="57"/>
      <c r="J1098" s="57"/>
      <c r="K1098" s="57"/>
      <c r="L1098" s="57"/>
      <c r="M1098" s="57"/>
      <c r="N1098" s="57"/>
      <c r="O1098" s="57"/>
      <c r="P1098" s="60"/>
      <c r="Q1098" s="57"/>
      <c r="R1098" s="57"/>
      <c r="S1098" s="57"/>
      <c r="T1098" s="57"/>
      <c r="U1098" s="57"/>
      <c r="V1098" s="57"/>
      <c r="W1098" s="57"/>
      <c r="X1098" s="57"/>
      <c r="Y1098" s="57"/>
      <c r="Z1098" s="57"/>
      <c r="AA1098" s="57"/>
    </row>
    <row r="1099" spans="1:27">
      <c r="A1099" s="57"/>
      <c r="B1099" s="57"/>
      <c r="C1099" s="60"/>
      <c r="D1099" s="57"/>
      <c r="E1099" s="57"/>
      <c r="F1099" s="57"/>
      <c r="G1099" s="57"/>
      <c r="H1099" s="57"/>
      <c r="I1099" s="57"/>
      <c r="J1099" s="57"/>
      <c r="K1099" s="57"/>
      <c r="L1099" s="57"/>
      <c r="M1099" s="57"/>
      <c r="N1099" s="57"/>
      <c r="O1099" s="57"/>
      <c r="P1099" s="60"/>
      <c r="Q1099" s="57"/>
      <c r="R1099" s="57"/>
      <c r="S1099" s="57"/>
      <c r="T1099" s="57"/>
      <c r="U1099" s="57"/>
      <c r="V1099" s="57"/>
      <c r="W1099" s="57"/>
      <c r="X1099" s="57"/>
      <c r="Y1099" s="57"/>
      <c r="Z1099" s="57"/>
      <c r="AA1099" s="57"/>
    </row>
    <row r="1100" spans="1:27">
      <c r="A1100" s="57"/>
      <c r="B1100" s="57"/>
      <c r="C1100" s="60"/>
      <c r="D1100" s="57"/>
      <c r="E1100" s="57"/>
      <c r="F1100" s="57"/>
      <c r="G1100" s="57"/>
      <c r="H1100" s="57"/>
      <c r="I1100" s="57"/>
      <c r="J1100" s="57"/>
      <c r="K1100" s="57"/>
      <c r="L1100" s="57"/>
      <c r="M1100" s="57"/>
      <c r="N1100" s="57"/>
      <c r="O1100" s="57"/>
      <c r="P1100" s="60"/>
      <c r="Q1100" s="57"/>
      <c r="R1100" s="57"/>
      <c r="S1100" s="57"/>
      <c r="T1100" s="57"/>
      <c r="U1100" s="57"/>
      <c r="V1100" s="57"/>
      <c r="W1100" s="57"/>
      <c r="X1100" s="57"/>
      <c r="Y1100" s="57"/>
      <c r="Z1100" s="57"/>
      <c r="AA1100" s="57"/>
    </row>
    <row r="1101" spans="1:27">
      <c r="A1101" s="57"/>
      <c r="B1101" s="57"/>
      <c r="C1101" s="60"/>
      <c r="D1101" s="57"/>
      <c r="E1101" s="57"/>
      <c r="F1101" s="57"/>
      <c r="G1101" s="57"/>
      <c r="H1101" s="57"/>
      <c r="I1101" s="57"/>
      <c r="J1101" s="57"/>
      <c r="K1101" s="57"/>
      <c r="L1101" s="57"/>
      <c r="M1101" s="57"/>
      <c r="N1101" s="57"/>
      <c r="O1101" s="57"/>
      <c r="P1101" s="60"/>
      <c r="Q1101" s="57"/>
      <c r="R1101" s="57"/>
      <c r="S1101" s="57"/>
      <c r="T1101" s="57"/>
      <c r="U1101" s="57"/>
      <c r="V1101" s="57"/>
      <c r="W1101" s="57"/>
      <c r="X1101" s="57"/>
      <c r="Y1101" s="57"/>
      <c r="Z1101" s="57"/>
      <c r="AA1101" s="57"/>
    </row>
    <row r="1102" spans="1:27">
      <c r="A1102" s="57"/>
      <c r="B1102" s="57"/>
      <c r="C1102" s="60"/>
      <c r="D1102" s="57"/>
      <c r="E1102" s="57"/>
      <c r="F1102" s="57"/>
      <c r="G1102" s="57"/>
      <c r="H1102" s="57"/>
      <c r="I1102" s="57"/>
      <c r="J1102" s="57"/>
      <c r="K1102" s="57"/>
      <c r="L1102" s="57"/>
      <c r="M1102" s="57"/>
      <c r="N1102" s="57"/>
      <c r="O1102" s="57"/>
      <c r="P1102" s="60"/>
      <c r="Q1102" s="57"/>
      <c r="R1102" s="57"/>
      <c r="S1102" s="57"/>
      <c r="T1102" s="57"/>
      <c r="U1102" s="57"/>
      <c r="V1102" s="57"/>
      <c r="W1102" s="57"/>
      <c r="X1102" s="57"/>
      <c r="Y1102" s="57"/>
      <c r="Z1102" s="57"/>
      <c r="AA1102" s="57"/>
    </row>
    <row r="1103" spans="1:27">
      <c r="A1103" s="57"/>
      <c r="B1103" s="57"/>
      <c r="C1103" s="60"/>
      <c r="D1103" s="57"/>
      <c r="E1103" s="57"/>
      <c r="F1103" s="57"/>
      <c r="G1103" s="57"/>
      <c r="H1103" s="57"/>
      <c r="I1103" s="57"/>
      <c r="J1103" s="57"/>
      <c r="K1103" s="57"/>
      <c r="L1103" s="57"/>
      <c r="M1103" s="57"/>
      <c r="N1103" s="57"/>
      <c r="O1103" s="57"/>
      <c r="P1103" s="60"/>
      <c r="Q1103" s="57"/>
      <c r="R1103" s="57"/>
      <c r="S1103" s="57"/>
      <c r="T1103" s="57"/>
      <c r="U1103" s="57"/>
      <c r="V1103" s="57"/>
      <c r="W1103" s="57"/>
      <c r="X1103" s="57"/>
      <c r="Y1103" s="57"/>
      <c r="Z1103" s="57"/>
      <c r="AA1103" s="57"/>
    </row>
    <row r="1104" spans="1:27">
      <c r="A1104" s="57"/>
      <c r="B1104" s="57"/>
      <c r="C1104" s="60"/>
      <c r="D1104" s="57"/>
      <c r="E1104" s="57"/>
      <c r="F1104" s="57"/>
      <c r="G1104" s="57"/>
      <c r="H1104" s="57"/>
      <c r="I1104" s="57"/>
      <c r="J1104" s="57"/>
      <c r="K1104" s="57"/>
      <c r="L1104" s="57"/>
      <c r="M1104" s="57"/>
      <c r="N1104" s="57"/>
      <c r="O1104" s="57"/>
      <c r="P1104" s="60"/>
      <c r="Q1104" s="57"/>
      <c r="R1104" s="57"/>
      <c r="S1104" s="57"/>
      <c r="T1104" s="57"/>
      <c r="U1104" s="57"/>
      <c r="V1104" s="57"/>
      <c r="W1104" s="57"/>
      <c r="X1104" s="57"/>
      <c r="Y1104" s="57"/>
      <c r="Z1104" s="57"/>
      <c r="AA1104" s="57"/>
    </row>
    <row r="1105" spans="1:27">
      <c r="A1105" s="57"/>
      <c r="B1105" s="57"/>
      <c r="C1105" s="60"/>
      <c r="D1105" s="57"/>
      <c r="E1105" s="57"/>
      <c r="F1105" s="57"/>
      <c r="G1105" s="57"/>
      <c r="H1105" s="57"/>
      <c r="I1105" s="57"/>
      <c r="J1105" s="57"/>
      <c r="K1105" s="57"/>
      <c r="L1105" s="57"/>
      <c r="M1105" s="57"/>
      <c r="N1105" s="57"/>
      <c r="O1105" s="57"/>
      <c r="P1105" s="60"/>
      <c r="Q1105" s="57"/>
      <c r="R1105" s="57"/>
      <c r="S1105" s="57"/>
      <c r="T1105" s="57"/>
      <c r="U1105" s="57"/>
      <c r="V1105" s="57"/>
      <c r="W1105" s="57"/>
      <c r="X1105" s="57"/>
      <c r="Y1105" s="57"/>
      <c r="Z1105" s="57"/>
      <c r="AA1105" s="57"/>
    </row>
    <row r="1106" spans="1:27">
      <c r="A1106" s="57"/>
      <c r="B1106" s="57"/>
      <c r="C1106" s="60"/>
      <c r="D1106" s="57"/>
      <c r="E1106" s="57"/>
      <c r="F1106" s="57"/>
      <c r="G1106" s="57"/>
      <c r="H1106" s="57"/>
      <c r="I1106" s="57"/>
      <c r="J1106" s="57"/>
      <c r="K1106" s="57"/>
      <c r="L1106" s="57"/>
      <c r="M1106" s="57"/>
      <c r="N1106" s="57"/>
      <c r="O1106" s="57"/>
      <c r="P1106" s="60"/>
      <c r="Q1106" s="57"/>
      <c r="R1106" s="57"/>
      <c r="S1106" s="57"/>
      <c r="T1106" s="57"/>
      <c r="U1106" s="57"/>
      <c r="V1106" s="57"/>
      <c r="W1106" s="57"/>
      <c r="X1106" s="57"/>
      <c r="Y1106" s="57"/>
      <c r="Z1106" s="57"/>
      <c r="AA1106" s="57"/>
    </row>
    <row r="1107" spans="1:27">
      <c r="A1107" s="57"/>
      <c r="B1107" s="57"/>
      <c r="C1107" s="60"/>
      <c r="D1107" s="57"/>
      <c r="E1107" s="57"/>
      <c r="F1107" s="57"/>
      <c r="G1107" s="57"/>
      <c r="H1107" s="57"/>
      <c r="I1107" s="57"/>
      <c r="J1107" s="57"/>
      <c r="K1107" s="57"/>
      <c r="L1107" s="57"/>
      <c r="M1107" s="57"/>
      <c r="N1107" s="57"/>
      <c r="O1107" s="57"/>
      <c r="P1107" s="60"/>
      <c r="Q1107" s="57"/>
      <c r="R1107" s="57"/>
      <c r="S1107" s="57"/>
      <c r="T1107" s="57"/>
      <c r="U1107" s="57"/>
      <c r="V1107" s="57"/>
      <c r="W1107" s="57"/>
      <c r="X1107" s="57"/>
      <c r="Y1107" s="57"/>
      <c r="Z1107" s="57"/>
      <c r="AA1107" s="57"/>
    </row>
    <row r="1108" spans="1:27">
      <c r="A1108" s="57"/>
      <c r="B1108" s="57"/>
      <c r="C1108" s="60"/>
      <c r="D1108" s="57"/>
      <c r="E1108" s="57"/>
      <c r="F1108" s="57"/>
      <c r="G1108" s="57"/>
      <c r="H1108" s="57"/>
      <c r="I1108" s="57"/>
      <c r="J1108" s="57"/>
      <c r="K1108" s="57"/>
      <c r="L1108" s="57"/>
      <c r="M1108" s="57"/>
      <c r="N1108" s="57"/>
      <c r="O1108" s="57"/>
      <c r="P1108" s="60"/>
      <c r="Q1108" s="57"/>
      <c r="R1108" s="57"/>
      <c r="S1108" s="57"/>
      <c r="T1108" s="57"/>
      <c r="U1108" s="57"/>
      <c r="V1108" s="57"/>
      <c r="W1108" s="57"/>
      <c r="X1108" s="57"/>
      <c r="Y1108" s="57"/>
      <c r="Z1108" s="57"/>
      <c r="AA1108" s="57"/>
    </row>
    <row r="1109" spans="1:27">
      <c r="A1109" s="57"/>
      <c r="B1109" s="57"/>
      <c r="C1109" s="60"/>
      <c r="D1109" s="57"/>
      <c r="E1109" s="57"/>
      <c r="F1109" s="57"/>
      <c r="G1109" s="57"/>
      <c r="H1109" s="57"/>
      <c r="I1109" s="57"/>
      <c r="J1109" s="57"/>
      <c r="K1109" s="57"/>
      <c r="L1109" s="57"/>
      <c r="M1109" s="57"/>
      <c r="N1109" s="57"/>
      <c r="O1109" s="57"/>
      <c r="P1109" s="60"/>
      <c r="Q1109" s="57"/>
      <c r="R1109" s="57"/>
      <c r="S1109" s="57"/>
      <c r="T1109" s="57"/>
      <c r="U1109" s="57"/>
      <c r="V1109" s="57"/>
      <c r="W1109" s="57"/>
      <c r="X1109" s="57"/>
      <c r="Y1109" s="57"/>
      <c r="Z1109" s="57"/>
      <c r="AA1109" s="57"/>
    </row>
    <row r="1110" spans="1:27">
      <c r="A1110" s="57"/>
      <c r="B1110" s="57"/>
      <c r="C1110" s="60"/>
      <c r="D1110" s="57"/>
      <c r="E1110" s="57"/>
      <c r="F1110" s="57"/>
      <c r="G1110" s="57"/>
      <c r="H1110" s="57"/>
      <c r="I1110" s="57"/>
      <c r="J1110" s="57"/>
      <c r="K1110" s="57"/>
      <c r="L1110" s="57"/>
      <c r="M1110" s="57"/>
      <c r="N1110" s="57"/>
      <c r="O1110" s="57"/>
      <c r="P1110" s="60"/>
      <c r="Q1110" s="57"/>
      <c r="R1110" s="57"/>
      <c r="S1110" s="57"/>
      <c r="T1110" s="57"/>
      <c r="U1110" s="57"/>
      <c r="V1110" s="57"/>
      <c r="W1110" s="57"/>
      <c r="X1110" s="57"/>
      <c r="Y1110" s="57"/>
      <c r="Z1110" s="57"/>
      <c r="AA1110" s="57"/>
    </row>
    <row r="1111" spans="1:27">
      <c r="A1111" s="57"/>
      <c r="B1111" s="57"/>
      <c r="C1111" s="60"/>
      <c r="D1111" s="57"/>
      <c r="E1111" s="57"/>
      <c r="F1111" s="57"/>
      <c r="G1111" s="57"/>
      <c r="H1111" s="57"/>
      <c r="I1111" s="57"/>
      <c r="J1111" s="57"/>
      <c r="K1111" s="57"/>
      <c r="L1111" s="57"/>
      <c r="M1111" s="57"/>
      <c r="N1111" s="57"/>
      <c r="O1111" s="57"/>
      <c r="P1111" s="60"/>
      <c r="Q1111" s="57"/>
      <c r="R1111" s="57"/>
      <c r="S1111" s="57"/>
      <c r="T1111" s="57"/>
      <c r="U1111" s="57"/>
      <c r="V1111" s="57"/>
      <c r="W1111" s="57"/>
      <c r="X1111" s="57"/>
      <c r="Y1111" s="57"/>
      <c r="Z1111" s="57"/>
      <c r="AA1111" s="57"/>
    </row>
    <row r="1112" spans="1:27">
      <c r="A1112" s="57"/>
      <c r="B1112" s="57"/>
      <c r="C1112" s="60"/>
      <c r="D1112" s="57"/>
      <c r="E1112" s="57"/>
      <c r="F1112" s="57"/>
      <c r="G1112" s="57"/>
      <c r="H1112" s="57"/>
      <c r="I1112" s="57"/>
      <c r="J1112" s="57"/>
      <c r="K1112" s="57"/>
      <c r="L1112" s="57"/>
      <c r="M1112" s="57"/>
      <c r="N1112" s="57"/>
      <c r="O1112" s="57"/>
      <c r="P1112" s="60"/>
      <c r="Q1112" s="57"/>
      <c r="R1112" s="57"/>
      <c r="S1112" s="57"/>
      <c r="T1112" s="57"/>
      <c r="U1112" s="57"/>
      <c r="V1112" s="57"/>
      <c r="W1112" s="57"/>
      <c r="X1112" s="57"/>
      <c r="Y1112" s="57"/>
      <c r="Z1112" s="57"/>
      <c r="AA1112" s="57"/>
    </row>
    <row r="1113" spans="1:27">
      <c r="A1113" s="57"/>
      <c r="B1113" s="57"/>
      <c r="C1113" s="60"/>
      <c r="D1113" s="57"/>
      <c r="E1113" s="57"/>
      <c r="F1113" s="57"/>
      <c r="G1113" s="57"/>
      <c r="H1113" s="57"/>
      <c r="I1113" s="57"/>
      <c r="J1113" s="57"/>
      <c r="K1113" s="57"/>
      <c r="L1113" s="57"/>
      <c r="M1113" s="57"/>
      <c r="N1113" s="57"/>
      <c r="O1113" s="57"/>
      <c r="P1113" s="60"/>
      <c r="Q1113" s="57"/>
      <c r="R1113" s="57"/>
      <c r="S1113" s="57"/>
      <c r="T1113" s="57"/>
      <c r="U1113" s="57"/>
      <c r="V1113" s="57"/>
      <c r="W1113" s="57"/>
      <c r="X1113" s="57"/>
      <c r="Y1113" s="57"/>
      <c r="Z1113" s="57"/>
      <c r="AA1113" s="57"/>
    </row>
    <row r="1114" spans="1:27">
      <c r="A1114" s="57"/>
      <c r="B1114" s="57"/>
      <c r="C1114" s="60"/>
      <c r="D1114" s="57"/>
      <c r="E1114" s="57"/>
      <c r="F1114" s="57"/>
      <c r="G1114" s="57"/>
      <c r="H1114" s="57"/>
      <c r="I1114" s="57"/>
      <c r="J1114" s="57"/>
      <c r="K1114" s="57"/>
      <c r="L1114" s="57"/>
      <c r="M1114" s="57"/>
      <c r="N1114" s="57"/>
      <c r="O1114" s="57"/>
      <c r="P1114" s="60"/>
      <c r="Q1114" s="57"/>
      <c r="R1114" s="57"/>
      <c r="S1114" s="57"/>
      <c r="T1114" s="57"/>
      <c r="U1114" s="57"/>
      <c r="V1114" s="57"/>
      <c r="W1114" s="57"/>
      <c r="X1114" s="57"/>
      <c r="Y1114" s="57"/>
      <c r="Z1114" s="57"/>
      <c r="AA1114" s="57"/>
    </row>
    <row r="1115" spans="1:27">
      <c r="A1115" s="57"/>
      <c r="B1115" s="57"/>
      <c r="C1115" s="60"/>
      <c r="D1115" s="57"/>
      <c r="E1115" s="57"/>
      <c r="F1115" s="57"/>
      <c r="G1115" s="57"/>
      <c r="H1115" s="57"/>
      <c r="I1115" s="57"/>
      <c r="J1115" s="57"/>
      <c r="K1115" s="57"/>
      <c r="L1115" s="57"/>
      <c r="M1115" s="57"/>
      <c r="N1115" s="57"/>
      <c r="O1115" s="57"/>
      <c r="P1115" s="60"/>
      <c r="Q1115" s="57"/>
      <c r="R1115" s="57"/>
      <c r="S1115" s="57"/>
      <c r="T1115" s="57"/>
      <c r="U1115" s="57"/>
      <c r="V1115" s="57"/>
      <c r="W1115" s="57"/>
      <c r="X1115" s="57"/>
      <c r="Y1115" s="57"/>
      <c r="Z1115" s="57"/>
      <c r="AA1115" s="57"/>
    </row>
    <row r="1116" spans="1:27">
      <c r="A1116" s="57"/>
      <c r="B1116" s="57"/>
      <c r="C1116" s="60"/>
      <c r="D1116" s="57"/>
      <c r="E1116" s="57"/>
      <c r="F1116" s="57"/>
      <c r="G1116" s="57"/>
      <c r="H1116" s="57"/>
      <c r="I1116" s="57"/>
      <c r="J1116" s="57"/>
      <c r="K1116" s="57"/>
      <c r="L1116" s="57"/>
      <c r="M1116" s="57"/>
      <c r="N1116" s="57"/>
      <c r="O1116" s="57"/>
      <c r="P1116" s="60"/>
      <c r="Q1116" s="57"/>
      <c r="R1116" s="57"/>
      <c r="S1116" s="57"/>
      <c r="T1116" s="57"/>
      <c r="U1116" s="57"/>
      <c r="V1116" s="57"/>
      <c r="W1116" s="57"/>
      <c r="X1116" s="57"/>
      <c r="Y1116" s="57"/>
      <c r="Z1116" s="57"/>
      <c r="AA1116" s="57"/>
    </row>
    <row r="1117" spans="1:27">
      <c r="A1117" s="57"/>
      <c r="B1117" s="57"/>
      <c r="C1117" s="60"/>
      <c r="D1117" s="57"/>
      <c r="E1117" s="57"/>
      <c r="F1117" s="57"/>
      <c r="G1117" s="57"/>
      <c r="H1117" s="57"/>
      <c r="I1117" s="57"/>
      <c r="J1117" s="57"/>
      <c r="K1117" s="57"/>
      <c r="L1117" s="57"/>
      <c r="M1117" s="57"/>
      <c r="N1117" s="57"/>
      <c r="O1117" s="57"/>
      <c r="P1117" s="60"/>
      <c r="Q1117" s="57"/>
      <c r="R1117" s="57"/>
      <c r="S1117" s="57"/>
      <c r="T1117" s="57"/>
      <c r="U1117" s="57"/>
      <c r="V1117" s="57"/>
      <c r="W1117" s="57"/>
      <c r="X1117" s="57"/>
      <c r="Y1117" s="57"/>
      <c r="Z1117" s="57"/>
      <c r="AA1117" s="57"/>
    </row>
    <row r="1118" spans="1:27">
      <c r="A1118" s="57"/>
      <c r="B1118" s="57"/>
      <c r="C1118" s="60"/>
      <c r="D1118" s="57"/>
      <c r="E1118" s="57"/>
      <c r="F1118" s="57"/>
      <c r="G1118" s="57"/>
      <c r="H1118" s="57"/>
      <c r="I1118" s="57"/>
      <c r="J1118" s="57"/>
      <c r="K1118" s="57"/>
      <c r="L1118" s="57"/>
      <c r="M1118" s="57"/>
      <c r="N1118" s="57"/>
      <c r="O1118" s="57"/>
      <c r="P1118" s="60"/>
      <c r="Q1118" s="57"/>
      <c r="R1118" s="57"/>
      <c r="S1118" s="57"/>
      <c r="T1118" s="57"/>
      <c r="U1118" s="57"/>
      <c r="V1118" s="57"/>
      <c r="W1118" s="57"/>
      <c r="X1118" s="57"/>
      <c r="Y1118" s="57"/>
      <c r="Z1118" s="57"/>
      <c r="AA1118" s="57"/>
    </row>
    <row r="1119" spans="1:27">
      <c r="A1119" s="57"/>
      <c r="B1119" s="57"/>
      <c r="C1119" s="60"/>
      <c r="D1119" s="57"/>
      <c r="E1119" s="57"/>
      <c r="F1119" s="57"/>
      <c r="G1119" s="57"/>
      <c r="H1119" s="57"/>
      <c r="I1119" s="57"/>
      <c r="J1119" s="57"/>
      <c r="K1119" s="57"/>
      <c r="L1119" s="57"/>
      <c r="M1119" s="57"/>
      <c r="N1119" s="57"/>
      <c r="O1119" s="57"/>
      <c r="P1119" s="60"/>
      <c r="Q1119" s="57"/>
      <c r="R1119" s="57"/>
      <c r="S1119" s="57"/>
      <c r="T1119" s="57"/>
      <c r="U1119" s="57"/>
      <c r="V1119" s="57"/>
      <c r="W1119" s="57"/>
      <c r="X1119" s="57"/>
      <c r="Y1119" s="57"/>
      <c r="Z1119" s="57"/>
      <c r="AA1119" s="57"/>
    </row>
    <row r="1120" spans="1:27">
      <c r="A1120" s="57"/>
      <c r="B1120" s="57"/>
      <c r="C1120" s="60"/>
      <c r="D1120" s="57"/>
      <c r="E1120" s="57"/>
      <c r="F1120" s="57"/>
      <c r="G1120" s="57"/>
      <c r="H1120" s="57"/>
      <c r="I1120" s="57"/>
      <c r="J1120" s="57"/>
      <c r="K1120" s="57"/>
      <c r="L1120" s="57"/>
      <c r="M1120" s="57"/>
      <c r="N1120" s="57"/>
      <c r="O1120" s="57"/>
      <c r="P1120" s="60"/>
      <c r="Q1120" s="57"/>
      <c r="R1120" s="57"/>
      <c r="S1120" s="57"/>
      <c r="T1120" s="57"/>
      <c r="U1120" s="57"/>
      <c r="V1120" s="57"/>
      <c r="W1120" s="57"/>
      <c r="X1120" s="57"/>
      <c r="Y1120" s="57"/>
      <c r="Z1120" s="57"/>
      <c r="AA1120" s="57"/>
    </row>
    <row r="1121" spans="1:27">
      <c r="A1121" s="57"/>
      <c r="B1121" s="57"/>
      <c r="C1121" s="60"/>
      <c r="D1121" s="57"/>
      <c r="E1121" s="57"/>
      <c r="F1121" s="57"/>
      <c r="G1121" s="57"/>
      <c r="H1121" s="57"/>
      <c r="I1121" s="57"/>
      <c r="J1121" s="57"/>
      <c r="K1121" s="57"/>
      <c r="L1121" s="57"/>
      <c r="M1121" s="57"/>
      <c r="N1121" s="57"/>
      <c r="O1121" s="57"/>
      <c r="P1121" s="60"/>
      <c r="Q1121" s="57"/>
      <c r="R1121" s="57"/>
      <c r="S1121" s="57"/>
      <c r="T1121" s="57"/>
      <c r="U1121" s="57"/>
      <c r="V1121" s="57"/>
      <c r="W1121" s="57"/>
      <c r="X1121" s="57"/>
      <c r="Y1121" s="57"/>
      <c r="Z1121" s="57"/>
      <c r="AA1121" s="57"/>
    </row>
    <row r="1122" spans="1:27">
      <c r="A1122" s="57"/>
      <c r="B1122" s="57"/>
      <c r="C1122" s="60"/>
      <c r="D1122" s="57"/>
      <c r="E1122" s="57"/>
      <c r="F1122" s="57"/>
      <c r="G1122" s="57"/>
      <c r="H1122" s="57"/>
      <c r="I1122" s="57"/>
      <c r="J1122" s="57"/>
      <c r="K1122" s="57"/>
      <c r="L1122" s="57"/>
      <c r="M1122" s="57"/>
      <c r="N1122" s="57"/>
      <c r="O1122" s="57"/>
      <c r="P1122" s="60"/>
      <c r="Q1122" s="57"/>
      <c r="R1122" s="57"/>
      <c r="S1122" s="57"/>
      <c r="T1122" s="57"/>
      <c r="U1122" s="57"/>
      <c r="V1122" s="57"/>
      <c r="W1122" s="57"/>
      <c r="X1122" s="57"/>
      <c r="Y1122" s="57"/>
      <c r="Z1122" s="57"/>
      <c r="AA1122" s="57"/>
    </row>
    <row r="1123" spans="1:27">
      <c r="A1123" s="57"/>
      <c r="B1123" s="57"/>
      <c r="C1123" s="60"/>
      <c r="D1123" s="57"/>
      <c r="E1123" s="57"/>
      <c r="F1123" s="57"/>
      <c r="G1123" s="57"/>
      <c r="H1123" s="57"/>
      <c r="I1123" s="57"/>
      <c r="J1123" s="57"/>
      <c r="K1123" s="57"/>
      <c r="L1123" s="57"/>
      <c r="M1123" s="57"/>
      <c r="N1123" s="57"/>
      <c r="O1123" s="57"/>
      <c r="P1123" s="60"/>
      <c r="Q1123" s="57"/>
      <c r="R1123" s="57"/>
      <c r="S1123" s="57"/>
      <c r="T1123" s="57"/>
      <c r="U1123" s="57"/>
      <c r="V1123" s="57"/>
      <c r="W1123" s="57"/>
      <c r="X1123" s="57"/>
      <c r="Y1123" s="57"/>
      <c r="Z1123" s="57"/>
      <c r="AA1123" s="57"/>
    </row>
    <row r="1124" spans="1:27">
      <c r="A1124" s="57"/>
      <c r="B1124" s="57"/>
      <c r="C1124" s="60"/>
      <c r="D1124" s="57"/>
      <c r="E1124" s="57"/>
      <c r="F1124" s="57"/>
      <c r="G1124" s="57"/>
      <c r="H1124" s="57"/>
      <c r="I1124" s="57"/>
      <c r="J1124" s="57"/>
      <c r="K1124" s="57"/>
      <c r="L1124" s="57"/>
      <c r="M1124" s="57"/>
      <c r="N1124" s="57"/>
      <c r="O1124" s="57"/>
      <c r="P1124" s="60"/>
      <c r="Q1124" s="57"/>
      <c r="R1124" s="57"/>
      <c r="S1124" s="57"/>
      <c r="T1124" s="57"/>
      <c r="U1124" s="57"/>
      <c r="V1124" s="57"/>
      <c r="W1124" s="57"/>
      <c r="X1124" s="57"/>
      <c r="Y1124" s="57"/>
      <c r="Z1124" s="57"/>
      <c r="AA1124" s="57"/>
    </row>
    <row r="1125" spans="1:27">
      <c r="A1125" s="57"/>
      <c r="B1125" s="57"/>
      <c r="C1125" s="60"/>
      <c r="D1125" s="57"/>
      <c r="E1125" s="57"/>
      <c r="F1125" s="57"/>
      <c r="G1125" s="57"/>
      <c r="H1125" s="57"/>
      <c r="I1125" s="57"/>
      <c r="J1125" s="57"/>
      <c r="K1125" s="57"/>
      <c r="L1125" s="57"/>
      <c r="M1125" s="57"/>
      <c r="N1125" s="57"/>
      <c r="O1125" s="57"/>
      <c r="P1125" s="60"/>
      <c r="Q1125" s="57"/>
      <c r="R1125" s="57"/>
      <c r="S1125" s="57"/>
      <c r="T1125" s="57"/>
      <c r="U1125" s="57"/>
      <c r="V1125" s="57"/>
      <c r="W1125" s="57"/>
      <c r="X1125" s="57"/>
      <c r="Y1125" s="57"/>
      <c r="Z1125" s="57"/>
      <c r="AA1125" s="57"/>
    </row>
    <row r="1126" spans="1:27">
      <c r="A1126" s="57"/>
      <c r="B1126" s="57"/>
      <c r="C1126" s="60"/>
      <c r="D1126" s="57"/>
      <c r="E1126" s="57"/>
      <c r="F1126" s="57"/>
      <c r="G1126" s="57"/>
      <c r="H1126" s="57"/>
      <c r="I1126" s="57"/>
      <c r="J1126" s="57"/>
      <c r="K1126" s="57"/>
      <c r="L1126" s="57"/>
      <c r="M1126" s="57"/>
      <c r="N1126" s="57"/>
      <c r="O1126" s="57"/>
      <c r="P1126" s="60"/>
      <c r="Q1126" s="57"/>
      <c r="R1126" s="57"/>
      <c r="S1126" s="57"/>
      <c r="T1126" s="57"/>
      <c r="U1126" s="57"/>
      <c r="V1126" s="57"/>
      <c r="W1126" s="57"/>
      <c r="X1126" s="57"/>
      <c r="Y1126" s="57"/>
      <c r="Z1126" s="57"/>
      <c r="AA1126" s="57"/>
    </row>
    <row r="1127" spans="1:27">
      <c r="A1127" s="57"/>
      <c r="B1127" s="57"/>
      <c r="C1127" s="60"/>
      <c r="D1127" s="57"/>
      <c r="E1127" s="57"/>
      <c r="F1127" s="57"/>
      <c r="G1127" s="57"/>
      <c r="H1127" s="57"/>
      <c r="I1127" s="57"/>
      <c r="J1127" s="57"/>
      <c r="K1127" s="57"/>
      <c r="L1127" s="57"/>
      <c r="M1127" s="57"/>
      <c r="N1127" s="57"/>
      <c r="O1127" s="57"/>
      <c r="P1127" s="60"/>
      <c r="Q1127" s="57"/>
      <c r="R1127" s="57"/>
      <c r="S1127" s="57"/>
      <c r="T1127" s="57"/>
      <c r="U1127" s="57"/>
      <c r="V1127" s="57"/>
      <c r="W1127" s="57"/>
      <c r="X1127" s="57"/>
      <c r="Y1127" s="57"/>
      <c r="Z1127" s="57"/>
      <c r="AA1127" s="57"/>
    </row>
    <row r="1128" spans="1:27">
      <c r="A1128" s="57"/>
      <c r="B1128" s="57"/>
      <c r="C1128" s="60"/>
      <c r="D1128" s="57"/>
      <c r="E1128" s="57"/>
      <c r="F1128" s="57"/>
      <c r="G1128" s="57"/>
      <c r="H1128" s="57"/>
      <c r="I1128" s="57"/>
      <c r="J1128" s="57"/>
      <c r="K1128" s="57"/>
      <c r="L1128" s="57"/>
      <c r="M1128" s="57"/>
      <c r="N1128" s="57"/>
      <c r="O1128" s="57"/>
      <c r="P1128" s="60"/>
      <c r="Q1128" s="57"/>
      <c r="R1128" s="57"/>
      <c r="S1128" s="57"/>
      <c r="T1128" s="57"/>
      <c r="U1128" s="57"/>
      <c r="V1128" s="57"/>
      <c r="W1128" s="57"/>
      <c r="X1128" s="57"/>
      <c r="Y1128" s="57"/>
      <c r="Z1128" s="57"/>
      <c r="AA1128" s="57"/>
    </row>
    <row r="1129" spans="1:27">
      <c r="A1129" s="57"/>
      <c r="B1129" s="57"/>
      <c r="C1129" s="60"/>
      <c r="D1129" s="57"/>
      <c r="E1129" s="57"/>
      <c r="F1129" s="57"/>
      <c r="G1129" s="57"/>
      <c r="H1129" s="57"/>
      <c r="I1129" s="57"/>
      <c r="J1129" s="57"/>
      <c r="K1129" s="57"/>
      <c r="L1129" s="57"/>
      <c r="M1129" s="57"/>
      <c r="N1129" s="57"/>
      <c r="O1129" s="57"/>
      <c r="P1129" s="60"/>
      <c r="Q1129" s="57"/>
      <c r="R1129" s="57"/>
      <c r="S1129" s="57"/>
      <c r="T1129" s="57"/>
      <c r="U1129" s="57"/>
      <c r="V1129" s="57"/>
      <c r="W1129" s="57"/>
      <c r="X1129" s="57"/>
      <c r="Y1129" s="57"/>
      <c r="Z1129" s="57"/>
      <c r="AA1129" s="57"/>
    </row>
    <row r="1130" spans="1:27">
      <c r="A1130" s="57"/>
      <c r="B1130" s="57"/>
      <c r="C1130" s="60"/>
      <c r="D1130" s="57"/>
      <c r="E1130" s="57"/>
      <c r="F1130" s="57"/>
      <c r="G1130" s="57"/>
      <c r="H1130" s="57"/>
      <c r="I1130" s="57"/>
      <c r="J1130" s="57"/>
      <c r="K1130" s="57"/>
      <c r="L1130" s="57"/>
      <c r="M1130" s="57"/>
      <c r="N1130" s="57"/>
      <c r="O1130" s="57"/>
      <c r="P1130" s="60"/>
      <c r="Q1130" s="57"/>
      <c r="R1130" s="57"/>
      <c r="S1130" s="57"/>
      <c r="T1130" s="57"/>
      <c r="U1130" s="57"/>
      <c r="V1130" s="57"/>
      <c r="W1130" s="57"/>
      <c r="X1130" s="57"/>
      <c r="Y1130" s="57"/>
      <c r="Z1130" s="57"/>
      <c r="AA1130" s="57"/>
    </row>
    <row r="1131" spans="1:27">
      <c r="A1131" s="57"/>
      <c r="B1131" s="57"/>
      <c r="C1131" s="60"/>
      <c r="D1131" s="57"/>
      <c r="E1131" s="57"/>
      <c r="F1131" s="57"/>
      <c r="G1131" s="57"/>
      <c r="H1131" s="57"/>
      <c r="I1131" s="57"/>
      <c r="J1131" s="57"/>
      <c r="K1131" s="57"/>
      <c r="L1131" s="57"/>
      <c r="M1131" s="57"/>
      <c r="N1131" s="57"/>
      <c r="O1131" s="57"/>
      <c r="P1131" s="60"/>
      <c r="Q1131" s="57"/>
      <c r="R1131" s="57"/>
      <c r="S1131" s="57"/>
      <c r="T1131" s="57"/>
      <c r="U1131" s="57"/>
      <c r="V1131" s="57"/>
      <c r="W1131" s="57"/>
      <c r="X1131" s="57"/>
      <c r="Y1131" s="57"/>
      <c r="Z1131" s="57"/>
      <c r="AA1131" s="57"/>
    </row>
    <row r="1132" spans="1:27">
      <c r="A1132" s="57"/>
      <c r="B1132" s="57"/>
      <c r="C1132" s="60"/>
      <c r="D1132" s="57"/>
      <c r="E1132" s="57"/>
      <c r="F1132" s="57"/>
      <c r="G1132" s="57"/>
      <c r="H1132" s="57"/>
      <c r="I1132" s="57"/>
      <c r="J1132" s="57"/>
      <c r="K1132" s="57"/>
      <c r="L1132" s="57"/>
      <c r="M1132" s="57"/>
      <c r="N1132" s="57"/>
      <c r="O1132" s="57"/>
      <c r="P1132" s="60"/>
      <c r="Q1132" s="57"/>
      <c r="R1132" s="57"/>
      <c r="S1132" s="57"/>
      <c r="T1132" s="57"/>
      <c r="U1132" s="57"/>
      <c r="V1132" s="57"/>
      <c r="W1132" s="57"/>
      <c r="X1132" s="57"/>
      <c r="Y1132" s="57"/>
      <c r="Z1132" s="57"/>
      <c r="AA1132" s="57"/>
    </row>
    <row r="1133" spans="1:27">
      <c r="A1133" s="57"/>
      <c r="B1133" s="57"/>
      <c r="C1133" s="60"/>
      <c r="D1133" s="57"/>
      <c r="E1133" s="57"/>
      <c r="F1133" s="57"/>
      <c r="G1133" s="57"/>
      <c r="H1133" s="57"/>
      <c r="I1133" s="57"/>
      <c r="J1133" s="57"/>
      <c r="K1133" s="57"/>
      <c r="L1133" s="57"/>
      <c r="M1133" s="57"/>
      <c r="N1133" s="57"/>
      <c r="O1133" s="57"/>
      <c r="P1133" s="60"/>
      <c r="Q1133" s="57"/>
      <c r="R1133" s="57"/>
      <c r="S1133" s="57"/>
      <c r="T1133" s="57"/>
      <c r="U1133" s="57"/>
      <c r="V1133" s="57"/>
      <c r="W1133" s="57"/>
      <c r="X1133" s="57"/>
      <c r="Y1133" s="57"/>
      <c r="Z1133" s="57"/>
      <c r="AA1133" s="57"/>
    </row>
    <row r="1134" spans="1:27">
      <c r="A1134" s="57"/>
      <c r="B1134" s="57"/>
      <c r="C1134" s="60"/>
      <c r="D1134" s="57"/>
      <c r="E1134" s="57"/>
      <c r="F1134" s="57"/>
      <c r="G1134" s="57"/>
      <c r="H1134" s="57"/>
      <c r="I1134" s="57"/>
      <c r="J1134" s="57"/>
      <c r="K1134" s="57"/>
      <c r="L1134" s="57"/>
      <c r="M1134" s="57"/>
      <c r="N1134" s="57"/>
      <c r="O1134" s="57"/>
      <c r="P1134" s="60"/>
      <c r="Q1134" s="57"/>
      <c r="R1134" s="57"/>
      <c r="S1134" s="57"/>
      <c r="T1134" s="57"/>
      <c r="U1134" s="57"/>
      <c r="V1134" s="57"/>
      <c r="W1134" s="57"/>
      <c r="X1134" s="57"/>
      <c r="Y1134" s="57"/>
      <c r="Z1134" s="57"/>
      <c r="AA1134" s="57"/>
    </row>
    <row r="1135" spans="1:27">
      <c r="A1135" s="57"/>
      <c r="B1135" s="57"/>
      <c r="C1135" s="60"/>
      <c r="D1135" s="57"/>
      <c r="E1135" s="57"/>
      <c r="F1135" s="57"/>
      <c r="G1135" s="57"/>
      <c r="H1135" s="57"/>
      <c r="I1135" s="57"/>
      <c r="J1135" s="57"/>
      <c r="K1135" s="57"/>
      <c r="L1135" s="57"/>
      <c r="M1135" s="57"/>
      <c r="N1135" s="57"/>
      <c r="O1135" s="57"/>
      <c r="P1135" s="60"/>
      <c r="Q1135" s="57"/>
      <c r="R1135" s="57"/>
      <c r="S1135" s="57"/>
      <c r="T1135" s="57"/>
      <c r="U1135" s="57"/>
      <c r="V1135" s="57"/>
      <c r="W1135" s="57"/>
      <c r="X1135" s="57"/>
      <c r="Y1135" s="57"/>
      <c r="Z1135" s="57"/>
      <c r="AA1135" s="57"/>
    </row>
    <row r="1136" spans="1:27">
      <c r="A1136" s="57"/>
      <c r="B1136" s="57"/>
      <c r="C1136" s="60"/>
      <c r="D1136" s="57"/>
      <c r="E1136" s="57"/>
      <c r="F1136" s="57"/>
      <c r="G1136" s="57"/>
      <c r="H1136" s="57"/>
      <c r="I1136" s="57"/>
      <c r="J1136" s="57"/>
      <c r="K1136" s="57"/>
      <c r="L1136" s="57"/>
      <c r="M1136" s="57"/>
      <c r="N1136" s="57"/>
      <c r="O1136" s="57"/>
      <c r="P1136" s="60"/>
      <c r="Q1136" s="57"/>
      <c r="R1136" s="57"/>
      <c r="S1136" s="57"/>
      <c r="T1136" s="57"/>
      <c r="U1136" s="57"/>
      <c r="V1136" s="57"/>
      <c r="W1136" s="57"/>
      <c r="X1136" s="57"/>
      <c r="Y1136" s="57"/>
      <c r="Z1136" s="57"/>
      <c r="AA1136" s="57"/>
    </row>
    <row r="1137" spans="1:27">
      <c r="A1137" s="57"/>
      <c r="B1137" s="57"/>
      <c r="C1137" s="60"/>
      <c r="D1137" s="57"/>
      <c r="E1137" s="57"/>
      <c r="F1137" s="57"/>
      <c r="G1137" s="57"/>
      <c r="H1137" s="57"/>
      <c r="I1137" s="57"/>
      <c r="J1137" s="57"/>
      <c r="K1137" s="57"/>
      <c r="L1137" s="57"/>
      <c r="M1137" s="57"/>
      <c r="N1137" s="57"/>
      <c r="O1137" s="57"/>
      <c r="P1137" s="60"/>
      <c r="Q1137" s="57"/>
      <c r="R1137" s="57"/>
      <c r="S1137" s="57"/>
      <c r="T1137" s="57"/>
      <c r="U1137" s="57"/>
      <c r="V1137" s="57"/>
      <c r="W1137" s="57"/>
      <c r="X1137" s="57"/>
      <c r="Y1137" s="57"/>
      <c r="Z1137" s="57"/>
      <c r="AA1137" s="57"/>
    </row>
    <row r="1138" spans="1:27">
      <c r="A1138" s="57"/>
      <c r="B1138" s="57"/>
      <c r="C1138" s="60"/>
      <c r="D1138" s="57"/>
      <c r="E1138" s="57"/>
      <c r="F1138" s="57"/>
      <c r="G1138" s="57"/>
      <c r="H1138" s="57"/>
      <c r="I1138" s="57"/>
      <c r="J1138" s="57"/>
      <c r="K1138" s="57"/>
      <c r="L1138" s="57"/>
      <c r="M1138" s="57"/>
      <c r="N1138" s="57"/>
      <c r="O1138" s="57"/>
      <c r="P1138" s="60"/>
      <c r="Q1138" s="57"/>
      <c r="R1138" s="57"/>
      <c r="S1138" s="57"/>
      <c r="T1138" s="57"/>
      <c r="U1138" s="57"/>
      <c r="V1138" s="57"/>
      <c r="W1138" s="57"/>
      <c r="X1138" s="57"/>
      <c r="Y1138" s="57"/>
      <c r="Z1138" s="57"/>
      <c r="AA1138" s="57"/>
    </row>
    <row r="1139" spans="1:27">
      <c r="A1139" s="57"/>
      <c r="B1139" s="57"/>
      <c r="C1139" s="60"/>
      <c r="D1139" s="57"/>
      <c r="E1139" s="57"/>
      <c r="F1139" s="57"/>
      <c r="G1139" s="57"/>
      <c r="H1139" s="57"/>
      <c r="I1139" s="57"/>
      <c r="J1139" s="57"/>
      <c r="K1139" s="57"/>
      <c r="L1139" s="57"/>
      <c r="M1139" s="57"/>
      <c r="N1139" s="57"/>
      <c r="O1139" s="57"/>
      <c r="P1139" s="60"/>
      <c r="Q1139" s="57"/>
      <c r="R1139" s="57"/>
      <c r="S1139" s="57"/>
      <c r="T1139" s="57"/>
      <c r="U1139" s="57"/>
      <c r="V1139" s="57"/>
      <c r="W1139" s="57"/>
      <c r="X1139" s="57"/>
      <c r="Y1139" s="57"/>
      <c r="Z1139" s="57"/>
      <c r="AA1139" s="57"/>
    </row>
    <row r="1140" spans="1:27">
      <c r="A1140" s="57"/>
      <c r="B1140" s="57"/>
      <c r="C1140" s="60"/>
      <c r="D1140" s="57"/>
      <c r="E1140" s="57"/>
      <c r="F1140" s="57"/>
      <c r="G1140" s="57"/>
      <c r="H1140" s="57"/>
      <c r="I1140" s="57"/>
      <c r="J1140" s="57"/>
      <c r="K1140" s="57"/>
      <c r="L1140" s="57"/>
      <c r="M1140" s="57"/>
      <c r="N1140" s="57"/>
      <c r="O1140" s="57"/>
      <c r="P1140" s="60"/>
      <c r="Q1140" s="57"/>
      <c r="R1140" s="57"/>
      <c r="S1140" s="57"/>
      <c r="T1140" s="57"/>
      <c r="U1140" s="57"/>
      <c r="V1140" s="57"/>
      <c r="W1140" s="57"/>
      <c r="X1140" s="57"/>
      <c r="Y1140" s="57"/>
      <c r="Z1140" s="57"/>
      <c r="AA1140" s="57"/>
    </row>
    <row r="1141" spans="1:27">
      <c r="A1141" s="57"/>
      <c r="B1141" s="57"/>
      <c r="C1141" s="60"/>
      <c r="D1141" s="57"/>
      <c r="E1141" s="57"/>
      <c r="F1141" s="57"/>
      <c r="G1141" s="57"/>
      <c r="H1141" s="57"/>
      <c r="I1141" s="57"/>
      <c r="J1141" s="57"/>
      <c r="K1141" s="57"/>
      <c r="L1141" s="57"/>
      <c r="M1141" s="57"/>
      <c r="N1141" s="57"/>
      <c r="O1141" s="57"/>
      <c r="P1141" s="60"/>
      <c r="Q1141" s="57"/>
      <c r="R1141" s="57"/>
      <c r="S1141" s="57"/>
      <c r="T1141" s="57"/>
      <c r="U1141" s="57"/>
      <c r="V1141" s="57"/>
      <c r="W1141" s="57"/>
      <c r="X1141" s="57"/>
      <c r="Y1141" s="57"/>
      <c r="Z1141" s="57"/>
      <c r="AA1141" s="57"/>
    </row>
    <row r="1142" spans="1:27">
      <c r="A1142" s="57"/>
      <c r="B1142" s="57"/>
      <c r="C1142" s="60"/>
      <c r="D1142" s="57"/>
      <c r="E1142" s="57"/>
      <c r="F1142" s="57"/>
      <c r="G1142" s="57"/>
      <c r="H1142" s="57"/>
      <c r="I1142" s="57"/>
      <c r="J1142" s="57"/>
      <c r="K1142" s="57"/>
      <c r="L1142" s="57"/>
      <c r="M1142" s="57"/>
      <c r="N1142" s="57"/>
      <c r="O1142" s="57"/>
      <c r="P1142" s="60"/>
      <c r="Q1142" s="57"/>
      <c r="R1142" s="57"/>
      <c r="S1142" s="57"/>
      <c r="T1142" s="57"/>
      <c r="U1142" s="57"/>
      <c r="V1142" s="57"/>
      <c r="W1142" s="57"/>
      <c r="X1142" s="57"/>
      <c r="Y1142" s="57"/>
      <c r="Z1142" s="57"/>
      <c r="AA1142" s="57"/>
    </row>
    <row r="1143" spans="1:27">
      <c r="A1143" s="57"/>
      <c r="B1143" s="57"/>
      <c r="C1143" s="60"/>
      <c r="D1143" s="57"/>
      <c r="E1143" s="57"/>
      <c r="F1143" s="57"/>
      <c r="G1143" s="57"/>
      <c r="H1143" s="57"/>
      <c r="I1143" s="57"/>
      <c r="J1143" s="57"/>
      <c r="K1143" s="57"/>
      <c r="L1143" s="57"/>
      <c r="M1143" s="57"/>
      <c r="N1143" s="57"/>
      <c r="O1143" s="57"/>
      <c r="P1143" s="60"/>
      <c r="Q1143" s="57"/>
      <c r="R1143" s="57"/>
      <c r="S1143" s="57"/>
      <c r="T1143" s="57"/>
      <c r="U1143" s="57"/>
      <c r="V1143" s="57"/>
      <c r="W1143" s="57"/>
      <c r="X1143" s="57"/>
      <c r="Y1143" s="57"/>
      <c r="Z1143" s="57"/>
      <c r="AA1143" s="57"/>
    </row>
    <row r="1144" spans="1:27">
      <c r="A1144" s="57"/>
      <c r="B1144" s="57"/>
      <c r="C1144" s="60"/>
      <c r="D1144" s="57"/>
      <c r="E1144" s="57"/>
      <c r="F1144" s="57"/>
      <c r="G1144" s="57"/>
      <c r="H1144" s="57"/>
      <c r="I1144" s="57"/>
      <c r="J1144" s="57"/>
      <c r="K1144" s="57"/>
      <c r="L1144" s="57"/>
      <c r="M1144" s="57"/>
      <c r="N1144" s="57"/>
      <c r="O1144" s="57"/>
      <c r="P1144" s="60"/>
      <c r="Q1144" s="57"/>
      <c r="R1144" s="57"/>
      <c r="S1144" s="57"/>
      <c r="T1144" s="57"/>
      <c r="U1144" s="57"/>
      <c r="V1144" s="57"/>
      <c r="W1144" s="57"/>
      <c r="X1144" s="57"/>
      <c r="Y1144" s="57"/>
      <c r="Z1144" s="57"/>
      <c r="AA1144" s="57"/>
    </row>
    <row r="1145" spans="1:27">
      <c r="A1145" s="57"/>
      <c r="B1145" s="57"/>
      <c r="C1145" s="60"/>
      <c r="D1145" s="57"/>
      <c r="E1145" s="57"/>
      <c r="F1145" s="57"/>
      <c r="G1145" s="57"/>
      <c r="H1145" s="57"/>
      <c r="I1145" s="57"/>
      <c r="J1145" s="57"/>
      <c r="K1145" s="57"/>
      <c r="L1145" s="57"/>
      <c r="M1145" s="57"/>
      <c r="N1145" s="57"/>
      <c r="O1145" s="57"/>
      <c r="P1145" s="60"/>
      <c r="Q1145" s="57"/>
      <c r="R1145" s="57"/>
      <c r="S1145" s="57"/>
      <c r="T1145" s="57"/>
      <c r="U1145" s="57"/>
      <c r="V1145" s="57"/>
      <c r="W1145" s="57"/>
      <c r="X1145" s="57"/>
      <c r="Y1145" s="57"/>
      <c r="Z1145" s="57"/>
      <c r="AA1145" s="57"/>
    </row>
    <row r="1146" spans="1:27">
      <c r="A1146" s="57"/>
      <c r="B1146" s="57"/>
      <c r="C1146" s="60"/>
      <c r="D1146" s="57"/>
      <c r="E1146" s="57"/>
      <c r="F1146" s="57"/>
      <c r="G1146" s="57"/>
      <c r="H1146" s="57"/>
      <c r="I1146" s="57"/>
      <c r="J1146" s="57"/>
      <c r="K1146" s="57"/>
      <c r="L1146" s="57"/>
      <c r="M1146" s="57"/>
      <c r="N1146" s="57"/>
      <c r="O1146" s="57"/>
      <c r="P1146" s="60"/>
      <c r="Q1146" s="57"/>
      <c r="R1146" s="57"/>
      <c r="S1146" s="57"/>
      <c r="T1146" s="57"/>
      <c r="U1146" s="57"/>
      <c r="V1146" s="57"/>
      <c r="W1146" s="57"/>
      <c r="X1146" s="57"/>
      <c r="Y1146" s="57"/>
      <c r="Z1146" s="57"/>
      <c r="AA1146" s="57"/>
    </row>
    <row r="1147" spans="1:27">
      <c r="A1147" s="57"/>
      <c r="B1147" s="57"/>
      <c r="C1147" s="60"/>
      <c r="D1147" s="57"/>
      <c r="E1147" s="57"/>
      <c r="F1147" s="57"/>
      <c r="G1147" s="57"/>
      <c r="H1147" s="57"/>
      <c r="I1147" s="57"/>
      <c r="J1147" s="57"/>
      <c r="K1147" s="57"/>
      <c r="L1147" s="57"/>
      <c r="M1147" s="57"/>
      <c r="N1147" s="57"/>
      <c r="O1147" s="57"/>
      <c r="P1147" s="60"/>
      <c r="Q1147" s="57"/>
      <c r="R1147" s="57"/>
      <c r="S1147" s="57"/>
      <c r="T1147" s="57"/>
      <c r="U1147" s="57"/>
      <c r="V1147" s="57"/>
      <c r="W1147" s="57"/>
      <c r="X1147" s="57"/>
      <c r="Y1147" s="57"/>
      <c r="Z1147" s="57"/>
      <c r="AA1147" s="57"/>
    </row>
    <row r="1148" spans="1:27">
      <c r="A1148" s="57"/>
      <c r="B1148" s="57"/>
      <c r="C1148" s="60"/>
      <c r="D1148" s="57"/>
      <c r="E1148" s="57"/>
      <c r="F1148" s="57"/>
      <c r="G1148" s="57"/>
      <c r="H1148" s="57"/>
      <c r="I1148" s="57"/>
      <c r="J1148" s="57"/>
      <c r="K1148" s="57"/>
      <c r="L1148" s="57"/>
      <c r="M1148" s="57"/>
      <c r="N1148" s="57"/>
      <c r="O1148" s="57"/>
      <c r="P1148" s="60"/>
      <c r="Q1148" s="57"/>
      <c r="R1148" s="57"/>
      <c r="S1148" s="57"/>
      <c r="T1148" s="57"/>
      <c r="U1148" s="57"/>
      <c r="V1148" s="57"/>
      <c r="W1148" s="57"/>
      <c r="X1148" s="57"/>
      <c r="Y1148" s="57"/>
      <c r="Z1148" s="57"/>
      <c r="AA1148" s="57"/>
    </row>
    <row r="1149" spans="1:27">
      <c r="A1149" s="57"/>
      <c r="B1149" s="57"/>
      <c r="C1149" s="60"/>
      <c r="D1149" s="57"/>
      <c r="E1149" s="57"/>
      <c r="F1149" s="57"/>
      <c r="G1149" s="57"/>
      <c r="H1149" s="57"/>
      <c r="I1149" s="57"/>
      <c r="J1149" s="57"/>
      <c r="K1149" s="57"/>
      <c r="L1149" s="57"/>
      <c r="M1149" s="57"/>
      <c r="N1149" s="57"/>
      <c r="O1149" s="57"/>
      <c r="P1149" s="60"/>
      <c r="Q1149" s="57"/>
      <c r="R1149" s="57"/>
      <c r="S1149" s="57"/>
      <c r="T1149" s="57"/>
      <c r="U1149" s="57"/>
      <c r="V1149" s="57"/>
      <c r="W1149" s="57"/>
      <c r="X1149" s="57"/>
      <c r="Y1149" s="57"/>
      <c r="Z1149" s="57"/>
      <c r="AA1149" s="57"/>
    </row>
    <row r="1150" spans="1:27">
      <c r="A1150" s="57"/>
      <c r="B1150" s="57"/>
      <c r="C1150" s="60"/>
      <c r="D1150" s="57"/>
      <c r="E1150" s="57"/>
      <c r="F1150" s="57"/>
      <c r="G1150" s="57"/>
      <c r="H1150" s="57"/>
      <c r="I1150" s="57"/>
      <c r="J1150" s="57"/>
      <c r="K1150" s="57"/>
      <c r="L1150" s="57"/>
      <c r="M1150" s="57"/>
      <c r="N1150" s="57"/>
      <c r="O1150" s="57"/>
      <c r="P1150" s="60"/>
      <c r="Q1150" s="57"/>
      <c r="R1150" s="57"/>
      <c r="S1150" s="57"/>
      <c r="T1150" s="57"/>
      <c r="U1150" s="57"/>
      <c r="V1150" s="57"/>
      <c r="W1150" s="57"/>
      <c r="X1150" s="57"/>
      <c r="Y1150" s="57"/>
      <c r="Z1150" s="57"/>
      <c r="AA1150" s="57"/>
    </row>
    <row r="1151" spans="1:27">
      <c r="A1151" s="57"/>
      <c r="B1151" s="57"/>
      <c r="C1151" s="60"/>
      <c r="D1151" s="57"/>
      <c r="E1151" s="57"/>
      <c r="F1151" s="57"/>
      <c r="G1151" s="57"/>
      <c r="H1151" s="57"/>
      <c r="I1151" s="57"/>
      <c r="J1151" s="57"/>
      <c r="K1151" s="57"/>
      <c r="L1151" s="57"/>
      <c r="M1151" s="57"/>
      <c r="N1151" s="57"/>
      <c r="O1151" s="57"/>
      <c r="P1151" s="60"/>
      <c r="Q1151" s="57"/>
      <c r="R1151" s="57"/>
      <c r="S1151" s="57"/>
      <c r="T1151" s="57"/>
      <c r="U1151" s="57"/>
      <c r="V1151" s="57"/>
      <c r="W1151" s="57"/>
      <c r="X1151" s="57"/>
      <c r="Y1151" s="57"/>
      <c r="Z1151" s="57"/>
      <c r="AA1151" s="57"/>
    </row>
    <row r="1152" spans="1:27">
      <c r="A1152" s="57"/>
      <c r="B1152" s="57"/>
      <c r="C1152" s="60"/>
      <c r="D1152" s="57"/>
      <c r="E1152" s="57"/>
      <c r="F1152" s="57"/>
      <c r="G1152" s="57"/>
      <c r="H1152" s="57"/>
      <c r="I1152" s="57"/>
      <c r="J1152" s="57"/>
      <c r="K1152" s="57"/>
      <c r="L1152" s="57"/>
      <c r="M1152" s="57"/>
      <c r="N1152" s="57"/>
      <c r="O1152" s="57"/>
      <c r="P1152" s="60"/>
      <c r="Q1152" s="57"/>
      <c r="R1152" s="57"/>
      <c r="S1152" s="57"/>
      <c r="T1152" s="57"/>
      <c r="U1152" s="57"/>
      <c r="V1152" s="57"/>
      <c r="W1152" s="57"/>
      <c r="X1152" s="57"/>
      <c r="Y1152" s="57"/>
      <c r="Z1152" s="57"/>
      <c r="AA1152" s="57"/>
    </row>
    <row r="1153" spans="1:27">
      <c r="A1153" s="57"/>
      <c r="B1153" s="57"/>
      <c r="C1153" s="60"/>
      <c r="D1153" s="57"/>
      <c r="E1153" s="57"/>
      <c r="F1153" s="57"/>
      <c r="G1153" s="57"/>
      <c r="H1153" s="57"/>
      <c r="I1153" s="57"/>
      <c r="J1153" s="57"/>
      <c r="K1153" s="57"/>
      <c r="L1153" s="57"/>
      <c r="M1153" s="57"/>
      <c r="N1153" s="57"/>
      <c r="O1153" s="57"/>
      <c r="P1153" s="60"/>
      <c r="Q1153" s="57"/>
      <c r="R1153" s="57"/>
      <c r="S1153" s="57"/>
      <c r="T1153" s="57"/>
      <c r="U1153" s="57"/>
      <c r="V1153" s="57"/>
      <c r="W1153" s="57"/>
      <c r="X1153" s="57"/>
      <c r="Y1153" s="57"/>
      <c r="Z1153" s="57"/>
      <c r="AA1153" s="57"/>
    </row>
    <row r="1154" spans="1:27">
      <c r="A1154" s="57"/>
      <c r="B1154" s="57"/>
      <c r="C1154" s="60"/>
      <c r="D1154" s="57"/>
      <c r="E1154" s="57"/>
      <c r="F1154" s="57"/>
      <c r="G1154" s="57"/>
      <c r="H1154" s="57"/>
      <c r="I1154" s="57"/>
      <c r="J1154" s="57"/>
      <c r="K1154" s="57"/>
      <c r="L1154" s="57"/>
      <c r="M1154" s="57"/>
      <c r="N1154" s="57"/>
      <c r="O1154" s="57"/>
      <c r="P1154" s="60"/>
      <c r="Q1154" s="57"/>
      <c r="R1154" s="57"/>
      <c r="S1154" s="57"/>
      <c r="T1154" s="57"/>
      <c r="U1154" s="57"/>
      <c r="V1154" s="57"/>
      <c r="W1154" s="57"/>
      <c r="X1154" s="57"/>
      <c r="Y1154" s="57"/>
      <c r="Z1154" s="57"/>
      <c r="AA1154" s="57"/>
    </row>
    <row r="1155" spans="1:27">
      <c r="A1155" s="57"/>
      <c r="B1155" s="57"/>
      <c r="C1155" s="60"/>
      <c r="D1155" s="57"/>
      <c r="E1155" s="57"/>
      <c r="F1155" s="57"/>
      <c r="G1155" s="57"/>
      <c r="H1155" s="57"/>
      <c r="I1155" s="57"/>
      <c r="J1155" s="57"/>
      <c r="K1155" s="57"/>
      <c r="L1155" s="57"/>
      <c r="M1155" s="57"/>
      <c r="N1155" s="57"/>
      <c r="O1155" s="57"/>
      <c r="P1155" s="60"/>
      <c r="Q1155" s="57"/>
      <c r="R1155" s="57"/>
      <c r="S1155" s="57"/>
      <c r="T1155" s="57"/>
      <c r="U1155" s="57"/>
      <c r="V1155" s="57"/>
      <c r="W1155" s="57"/>
      <c r="X1155" s="57"/>
      <c r="Y1155" s="57"/>
      <c r="Z1155" s="57"/>
      <c r="AA1155" s="57"/>
    </row>
    <row r="1156" spans="1:27">
      <c r="A1156" s="57"/>
      <c r="B1156" s="57"/>
      <c r="C1156" s="60"/>
      <c r="D1156" s="57"/>
      <c r="E1156" s="57"/>
      <c r="F1156" s="57"/>
      <c r="G1156" s="57"/>
      <c r="H1156" s="57"/>
      <c r="I1156" s="57"/>
      <c r="J1156" s="57"/>
      <c r="K1156" s="57"/>
      <c r="L1156" s="57"/>
      <c r="M1156" s="57"/>
      <c r="N1156" s="57"/>
      <c r="O1156" s="57"/>
      <c r="P1156" s="60"/>
      <c r="Q1156" s="57"/>
      <c r="R1156" s="57"/>
      <c r="S1156" s="57"/>
      <c r="T1156" s="57"/>
      <c r="U1156" s="57"/>
      <c r="V1156" s="57"/>
      <c r="W1156" s="57"/>
      <c r="X1156" s="57"/>
      <c r="Y1156" s="57"/>
      <c r="Z1156" s="57"/>
      <c r="AA1156" s="57"/>
    </row>
    <row r="1157" spans="1:27">
      <c r="A1157" s="57"/>
      <c r="B1157" s="57"/>
      <c r="C1157" s="60"/>
      <c r="D1157" s="57"/>
      <c r="E1157" s="57"/>
      <c r="F1157" s="57"/>
      <c r="G1157" s="57"/>
      <c r="H1157" s="57"/>
      <c r="I1157" s="57"/>
      <c r="J1157" s="57"/>
      <c r="K1157" s="57"/>
      <c r="L1157" s="57"/>
      <c r="M1157" s="57"/>
      <c r="N1157" s="57"/>
      <c r="O1157" s="57"/>
      <c r="P1157" s="60"/>
      <c r="Q1157" s="57"/>
      <c r="R1157" s="57"/>
      <c r="S1157" s="57"/>
      <c r="T1157" s="57"/>
      <c r="U1157" s="57"/>
      <c r="V1157" s="57"/>
      <c r="W1157" s="57"/>
      <c r="X1157" s="57"/>
      <c r="Y1157" s="57"/>
      <c r="Z1157" s="57"/>
      <c r="AA1157" s="57"/>
    </row>
    <row r="1158" spans="1:27">
      <c r="A1158" s="57"/>
      <c r="B1158" s="57"/>
      <c r="C1158" s="60"/>
      <c r="D1158" s="57"/>
      <c r="E1158" s="57"/>
      <c r="F1158" s="57"/>
      <c r="G1158" s="57"/>
      <c r="H1158" s="57"/>
      <c r="I1158" s="57"/>
      <c r="J1158" s="57"/>
      <c r="K1158" s="57"/>
      <c r="L1158" s="57"/>
      <c r="M1158" s="57"/>
      <c r="N1158" s="57"/>
      <c r="O1158" s="57"/>
      <c r="P1158" s="60"/>
      <c r="Q1158" s="57"/>
      <c r="R1158" s="57"/>
      <c r="S1158" s="57"/>
      <c r="T1158" s="57"/>
      <c r="U1158" s="57"/>
      <c r="V1158" s="57"/>
      <c r="W1158" s="57"/>
      <c r="X1158" s="57"/>
      <c r="Y1158" s="57"/>
      <c r="Z1158" s="57"/>
      <c r="AA1158" s="57"/>
    </row>
    <row r="1159" spans="1:27">
      <c r="A1159" s="57"/>
      <c r="B1159" s="57"/>
      <c r="C1159" s="60"/>
      <c r="D1159" s="57"/>
      <c r="E1159" s="57"/>
      <c r="F1159" s="57"/>
      <c r="G1159" s="57"/>
      <c r="H1159" s="57"/>
      <c r="I1159" s="57"/>
      <c r="J1159" s="57"/>
      <c r="K1159" s="57"/>
      <c r="L1159" s="57"/>
      <c r="M1159" s="57"/>
      <c r="N1159" s="57"/>
      <c r="O1159" s="57"/>
      <c r="P1159" s="60"/>
      <c r="Q1159" s="57"/>
      <c r="R1159" s="57"/>
      <c r="S1159" s="57"/>
      <c r="T1159" s="57"/>
      <c r="U1159" s="57"/>
      <c r="V1159" s="57"/>
      <c r="W1159" s="57"/>
      <c r="X1159" s="57"/>
      <c r="Y1159" s="57"/>
      <c r="Z1159" s="57"/>
      <c r="AA1159" s="57"/>
    </row>
    <row r="1160" spans="1:27">
      <c r="A1160" s="57"/>
      <c r="B1160" s="57"/>
      <c r="C1160" s="60"/>
      <c r="D1160" s="57"/>
      <c r="E1160" s="57"/>
      <c r="F1160" s="57"/>
      <c r="G1160" s="57"/>
      <c r="H1160" s="57"/>
      <c r="I1160" s="57"/>
      <c r="J1160" s="57"/>
      <c r="K1160" s="57"/>
      <c r="L1160" s="57"/>
      <c r="M1160" s="57"/>
      <c r="N1160" s="57"/>
      <c r="O1160" s="57"/>
      <c r="P1160" s="60"/>
      <c r="Q1160" s="57"/>
      <c r="R1160" s="57"/>
      <c r="S1160" s="57"/>
      <c r="T1160" s="57"/>
      <c r="U1160" s="57"/>
      <c r="V1160" s="57"/>
      <c r="W1160" s="57"/>
      <c r="X1160" s="57"/>
      <c r="Y1160" s="57"/>
      <c r="Z1160" s="57"/>
      <c r="AA1160" s="57"/>
    </row>
    <row r="1161" spans="1:27">
      <c r="A1161" s="57"/>
      <c r="B1161" s="57"/>
      <c r="C1161" s="60"/>
      <c r="D1161" s="57"/>
      <c r="E1161" s="57"/>
      <c r="F1161" s="57"/>
      <c r="G1161" s="57"/>
      <c r="H1161" s="57"/>
      <c r="I1161" s="57"/>
      <c r="J1161" s="57"/>
      <c r="K1161" s="57"/>
      <c r="L1161" s="57"/>
      <c r="M1161" s="57"/>
      <c r="N1161" s="57"/>
      <c r="O1161" s="57"/>
      <c r="P1161" s="60"/>
      <c r="Q1161" s="57"/>
      <c r="R1161" s="57"/>
      <c r="S1161" s="57"/>
      <c r="T1161" s="57"/>
      <c r="U1161" s="57"/>
      <c r="V1161" s="57"/>
      <c r="W1161" s="57"/>
      <c r="X1161" s="57"/>
      <c r="Y1161" s="57"/>
      <c r="Z1161" s="57"/>
      <c r="AA1161" s="57"/>
    </row>
    <row r="1162" spans="1:27">
      <c r="A1162" s="57"/>
      <c r="B1162" s="57"/>
      <c r="C1162" s="60"/>
      <c r="D1162" s="57"/>
      <c r="E1162" s="57"/>
      <c r="F1162" s="57"/>
      <c r="G1162" s="57"/>
      <c r="H1162" s="57"/>
      <c r="I1162" s="57"/>
      <c r="J1162" s="57"/>
      <c r="K1162" s="57"/>
      <c r="L1162" s="57"/>
      <c r="M1162" s="57"/>
      <c r="N1162" s="57"/>
      <c r="O1162" s="57"/>
      <c r="P1162" s="60"/>
      <c r="Q1162" s="57"/>
      <c r="R1162" s="57"/>
      <c r="S1162" s="57"/>
      <c r="T1162" s="57"/>
      <c r="U1162" s="57"/>
      <c r="V1162" s="57"/>
      <c r="W1162" s="57"/>
      <c r="X1162" s="57"/>
      <c r="Y1162" s="57"/>
      <c r="Z1162" s="57"/>
      <c r="AA1162" s="57"/>
    </row>
    <row r="1163" spans="1:27">
      <c r="A1163" s="57"/>
      <c r="B1163" s="57"/>
      <c r="C1163" s="60"/>
      <c r="D1163" s="57"/>
      <c r="E1163" s="57"/>
      <c r="F1163" s="57"/>
      <c r="G1163" s="57"/>
      <c r="H1163" s="57"/>
      <c r="I1163" s="57"/>
      <c r="J1163" s="57"/>
      <c r="K1163" s="57"/>
      <c r="L1163" s="57"/>
      <c r="M1163" s="57"/>
      <c r="N1163" s="57"/>
      <c r="O1163" s="57"/>
      <c r="P1163" s="60"/>
      <c r="Q1163" s="57"/>
      <c r="R1163" s="57"/>
      <c r="S1163" s="57"/>
      <c r="T1163" s="57"/>
      <c r="U1163" s="57"/>
      <c r="V1163" s="57"/>
      <c r="W1163" s="57"/>
      <c r="X1163" s="57"/>
      <c r="Y1163" s="57"/>
      <c r="Z1163" s="57"/>
      <c r="AA1163" s="57"/>
    </row>
    <row r="1164" spans="1:27">
      <c r="A1164" s="57"/>
      <c r="B1164" s="57"/>
      <c r="C1164" s="60"/>
      <c r="D1164" s="57"/>
      <c r="E1164" s="57"/>
      <c r="F1164" s="57"/>
      <c r="G1164" s="57"/>
      <c r="H1164" s="57"/>
      <c r="I1164" s="57"/>
      <c r="J1164" s="57"/>
      <c r="K1164" s="57"/>
      <c r="L1164" s="57"/>
      <c r="M1164" s="57"/>
      <c r="N1164" s="57"/>
      <c r="O1164" s="57"/>
      <c r="P1164" s="60"/>
      <c r="Q1164" s="57"/>
      <c r="R1164" s="57"/>
      <c r="S1164" s="57"/>
      <c r="T1164" s="57"/>
      <c r="U1164" s="57"/>
      <c r="V1164" s="57"/>
      <c r="W1164" s="57"/>
      <c r="X1164" s="57"/>
      <c r="Y1164" s="57"/>
      <c r="Z1164" s="57"/>
      <c r="AA1164" s="57"/>
    </row>
    <row r="1165" spans="1:27">
      <c r="A1165" s="57"/>
      <c r="B1165" s="57"/>
      <c r="C1165" s="60"/>
      <c r="D1165" s="57"/>
      <c r="E1165" s="57"/>
      <c r="F1165" s="57"/>
      <c r="G1165" s="57"/>
      <c r="H1165" s="57"/>
      <c r="I1165" s="57"/>
      <c r="J1165" s="57"/>
      <c r="K1165" s="57"/>
      <c r="L1165" s="57"/>
      <c r="M1165" s="57"/>
      <c r="N1165" s="57"/>
      <c r="O1165" s="57"/>
      <c r="P1165" s="60"/>
      <c r="Q1165" s="57"/>
      <c r="R1165" s="57"/>
      <c r="S1165" s="57"/>
      <c r="T1165" s="57"/>
      <c r="U1165" s="57"/>
      <c r="V1165" s="57"/>
      <c r="W1165" s="57"/>
      <c r="X1165" s="57"/>
      <c r="Y1165" s="57"/>
      <c r="Z1165" s="57"/>
      <c r="AA1165" s="57"/>
    </row>
    <row r="1166" spans="1:27">
      <c r="A1166" s="57"/>
      <c r="B1166" s="57"/>
      <c r="C1166" s="60"/>
      <c r="D1166" s="57"/>
      <c r="E1166" s="57"/>
      <c r="F1166" s="57"/>
      <c r="G1166" s="57"/>
      <c r="H1166" s="57"/>
      <c r="I1166" s="57"/>
      <c r="J1166" s="57"/>
      <c r="K1166" s="57"/>
      <c r="L1166" s="57"/>
      <c r="M1166" s="57"/>
      <c r="N1166" s="57"/>
      <c r="O1166" s="57"/>
      <c r="P1166" s="60"/>
      <c r="Q1166" s="57"/>
      <c r="R1166" s="57"/>
      <c r="S1166" s="57"/>
      <c r="T1166" s="57"/>
      <c r="U1166" s="57"/>
      <c r="V1166" s="57"/>
      <c r="W1166" s="57"/>
      <c r="X1166" s="57"/>
      <c r="Y1166" s="57"/>
      <c r="Z1166" s="57"/>
      <c r="AA1166" s="57"/>
    </row>
    <row r="1167" spans="1:27">
      <c r="A1167" s="57"/>
      <c r="B1167" s="57"/>
      <c r="C1167" s="60"/>
      <c r="D1167" s="57"/>
      <c r="E1167" s="57"/>
      <c r="F1167" s="57"/>
      <c r="G1167" s="57"/>
      <c r="H1167" s="57"/>
      <c r="I1167" s="57"/>
      <c r="J1167" s="57"/>
      <c r="K1167" s="57"/>
      <c r="L1167" s="57"/>
      <c r="M1167" s="57"/>
      <c r="N1167" s="57"/>
      <c r="O1167" s="57"/>
      <c r="P1167" s="60"/>
      <c r="Q1167" s="57"/>
      <c r="R1167" s="57"/>
      <c r="S1167" s="57"/>
      <c r="T1167" s="57"/>
      <c r="U1167" s="57"/>
      <c r="V1167" s="57"/>
      <c r="W1167" s="57"/>
      <c r="X1167" s="57"/>
      <c r="Y1167" s="57"/>
      <c r="Z1167" s="57"/>
      <c r="AA1167" s="57"/>
    </row>
    <row r="1168" spans="1:27">
      <c r="A1168" s="57"/>
      <c r="B1168" s="57"/>
      <c r="C1168" s="60"/>
      <c r="D1168" s="57"/>
      <c r="E1168" s="57"/>
      <c r="F1168" s="57"/>
      <c r="G1168" s="57"/>
      <c r="H1168" s="57"/>
      <c r="I1168" s="57"/>
      <c r="J1168" s="57"/>
      <c r="K1168" s="57"/>
      <c r="L1168" s="57"/>
      <c r="M1168" s="57"/>
      <c r="N1168" s="57"/>
      <c r="O1168" s="57"/>
      <c r="P1168" s="60"/>
      <c r="Q1168" s="57"/>
      <c r="R1168" s="57"/>
      <c r="S1168" s="57"/>
      <c r="T1168" s="57"/>
      <c r="U1168" s="57"/>
      <c r="V1168" s="57"/>
      <c r="W1168" s="57"/>
      <c r="X1168" s="57"/>
      <c r="Y1168" s="57"/>
      <c r="Z1168" s="57"/>
      <c r="AA1168" s="57"/>
    </row>
    <row r="1169" spans="1:27">
      <c r="A1169" s="57"/>
      <c r="B1169" s="57"/>
      <c r="C1169" s="60"/>
      <c r="D1169" s="57"/>
      <c r="E1169" s="57"/>
      <c r="F1169" s="57"/>
      <c r="G1169" s="57"/>
      <c r="H1169" s="57"/>
      <c r="I1169" s="57"/>
      <c r="J1169" s="57"/>
      <c r="K1169" s="57"/>
      <c r="L1169" s="57"/>
      <c r="M1169" s="57"/>
      <c r="N1169" s="57"/>
      <c r="O1169" s="57"/>
      <c r="P1169" s="60"/>
      <c r="Q1169" s="57"/>
      <c r="R1169" s="57"/>
      <c r="S1169" s="57"/>
      <c r="T1169" s="57"/>
      <c r="U1169" s="57"/>
      <c r="V1169" s="57"/>
      <c r="W1169" s="57"/>
      <c r="X1169" s="57"/>
      <c r="Y1169" s="57"/>
      <c r="Z1169" s="57"/>
      <c r="AA1169" s="57"/>
    </row>
    <row r="1170" spans="1:27">
      <c r="A1170" s="57"/>
      <c r="B1170" s="57"/>
      <c r="C1170" s="60"/>
      <c r="D1170" s="57"/>
      <c r="E1170" s="57"/>
      <c r="F1170" s="57"/>
      <c r="G1170" s="57"/>
      <c r="H1170" s="57"/>
      <c r="I1170" s="57"/>
      <c r="J1170" s="57"/>
      <c r="K1170" s="57"/>
      <c r="L1170" s="57"/>
      <c r="M1170" s="57"/>
      <c r="N1170" s="57"/>
      <c r="O1170" s="57"/>
      <c r="P1170" s="60"/>
      <c r="Q1170" s="57"/>
      <c r="R1170" s="57"/>
      <c r="S1170" s="57"/>
      <c r="T1170" s="57"/>
      <c r="U1170" s="57"/>
      <c r="V1170" s="57"/>
      <c r="W1170" s="57"/>
      <c r="X1170" s="57"/>
      <c r="Y1170" s="57"/>
      <c r="Z1170" s="57"/>
      <c r="AA1170" s="57"/>
    </row>
    <row r="1171" spans="1:27">
      <c r="A1171" s="57"/>
      <c r="B1171" s="57"/>
      <c r="C1171" s="60"/>
      <c r="D1171" s="57"/>
      <c r="E1171" s="57"/>
      <c r="F1171" s="57"/>
      <c r="G1171" s="57"/>
      <c r="H1171" s="57"/>
      <c r="I1171" s="57"/>
      <c r="J1171" s="57"/>
      <c r="K1171" s="57"/>
      <c r="L1171" s="57"/>
      <c r="M1171" s="57"/>
      <c r="N1171" s="57"/>
      <c r="O1171" s="57"/>
      <c r="P1171" s="60"/>
      <c r="Q1171" s="57"/>
      <c r="R1171" s="57"/>
      <c r="S1171" s="57"/>
      <c r="T1171" s="57"/>
      <c r="U1171" s="57"/>
      <c r="V1171" s="57"/>
      <c r="W1171" s="57"/>
      <c r="X1171" s="57"/>
      <c r="Y1171" s="57"/>
      <c r="Z1171" s="57"/>
      <c r="AA1171" s="57"/>
    </row>
    <row r="1172" spans="1:27">
      <c r="A1172" s="57"/>
      <c r="B1172" s="57"/>
      <c r="C1172" s="60"/>
      <c r="D1172" s="57"/>
      <c r="E1172" s="57"/>
      <c r="F1172" s="57"/>
      <c r="G1172" s="57"/>
      <c r="H1172" s="57"/>
      <c r="I1172" s="57"/>
      <c r="J1172" s="57"/>
      <c r="K1172" s="57"/>
      <c r="L1172" s="57"/>
      <c r="M1172" s="57"/>
      <c r="N1172" s="57"/>
      <c r="O1172" s="57"/>
      <c r="P1172" s="60"/>
      <c r="Q1172" s="57"/>
      <c r="R1172" s="57"/>
      <c r="S1172" s="57"/>
      <c r="T1172" s="57"/>
      <c r="U1172" s="57"/>
      <c r="V1172" s="57"/>
      <c r="W1172" s="57"/>
      <c r="X1172" s="57"/>
      <c r="Y1172" s="57"/>
      <c r="Z1172" s="57"/>
      <c r="AA1172" s="57"/>
    </row>
    <row r="1173" spans="1:27">
      <c r="A1173" s="57"/>
      <c r="B1173" s="57"/>
      <c r="C1173" s="60"/>
      <c r="D1173" s="57"/>
      <c r="E1173" s="57"/>
      <c r="F1173" s="57"/>
      <c r="G1173" s="57"/>
      <c r="H1173" s="57"/>
      <c r="I1173" s="57"/>
      <c r="J1173" s="57"/>
      <c r="K1173" s="57"/>
      <c r="L1173" s="57"/>
      <c r="M1173" s="57"/>
      <c r="N1173" s="57"/>
      <c r="O1173" s="57"/>
      <c r="P1173" s="60"/>
      <c r="Q1173" s="57"/>
      <c r="R1173" s="57"/>
      <c r="S1173" s="57"/>
      <c r="T1173" s="57"/>
      <c r="U1173" s="57"/>
      <c r="V1173" s="57"/>
      <c r="W1173" s="57"/>
      <c r="X1173" s="57"/>
      <c r="Y1173" s="57"/>
      <c r="Z1173" s="57"/>
      <c r="AA1173" s="57"/>
    </row>
    <row r="1174" spans="1:27">
      <c r="A1174" s="57"/>
      <c r="B1174" s="57"/>
      <c r="C1174" s="60"/>
      <c r="D1174" s="57"/>
      <c r="E1174" s="57"/>
      <c r="F1174" s="57"/>
      <c r="G1174" s="57"/>
      <c r="H1174" s="57"/>
      <c r="I1174" s="57"/>
      <c r="J1174" s="57"/>
      <c r="K1174" s="57"/>
      <c r="L1174" s="57"/>
      <c r="M1174" s="57"/>
      <c r="N1174" s="57"/>
      <c r="O1174" s="57"/>
      <c r="P1174" s="60"/>
      <c r="Q1174" s="57"/>
      <c r="R1174" s="57"/>
      <c r="S1174" s="57"/>
      <c r="T1174" s="57"/>
      <c r="U1174" s="57"/>
      <c r="V1174" s="57"/>
      <c r="W1174" s="57"/>
      <c r="X1174" s="57"/>
      <c r="Y1174" s="57"/>
      <c r="Z1174" s="57"/>
      <c r="AA1174" s="57"/>
    </row>
    <row r="1175" spans="1:27">
      <c r="A1175" s="57"/>
      <c r="B1175" s="57"/>
      <c r="C1175" s="60"/>
      <c r="D1175" s="57"/>
      <c r="E1175" s="57"/>
      <c r="F1175" s="57"/>
      <c r="G1175" s="57"/>
      <c r="H1175" s="57"/>
      <c r="I1175" s="57"/>
      <c r="J1175" s="57"/>
      <c r="K1175" s="57"/>
      <c r="L1175" s="57"/>
      <c r="M1175" s="57"/>
      <c r="N1175" s="57"/>
      <c r="O1175" s="57"/>
      <c r="P1175" s="60"/>
      <c r="Q1175" s="57"/>
      <c r="R1175" s="57"/>
      <c r="S1175" s="57"/>
      <c r="T1175" s="57"/>
      <c r="U1175" s="57"/>
      <c r="V1175" s="57"/>
      <c r="W1175" s="57"/>
      <c r="X1175" s="57"/>
      <c r="Y1175" s="57"/>
      <c r="Z1175" s="57"/>
      <c r="AA1175" s="57"/>
    </row>
    <row r="1176" spans="1:27">
      <c r="A1176" s="57"/>
      <c r="B1176" s="57"/>
      <c r="C1176" s="60"/>
      <c r="D1176" s="57"/>
      <c r="E1176" s="57"/>
      <c r="F1176" s="57"/>
      <c r="G1176" s="57"/>
      <c r="H1176" s="57"/>
      <c r="I1176" s="57"/>
      <c r="J1176" s="57"/>
      <c r="K1176" s="57"/>
      <c r="L1176" s="57"/>
      <c r="M1176" s="57"/>
      <c r="N1176" s="57"/>
      <c r="O1176" s="57"/>
      <c r="P1176" s="60"/>
      <c r="Q1176" s="57"/>
      <c r="R1176" s="57"/>
      <c r="S1176" s="57"/>
      <c r="T1176" s="57"/>
      <c r="U1176" s="57"/>
      <c r="V1176" s="57"/>
      <c r="W1176" s="57"/>
      <c r="X1176" s="57"/>
      <c r="Y1176" s="57"/>
      <c r="Z1176" s="57"/>
      <c r="AA1176" s="57"/>
    </row>
    <row r="1177" spans="1:27">
      <c r="A1177" s="57"/>
      <c r="B1177" s="57"/>
      <c r="C1177" s="60"/>
      <c r="D1177" s="57"/>
      <c r="E1177" s="57"/>
      <c r="F1177" s="57"/>
      <c r="G1177" s="57"/>
      <c r="H1177" s="57"/>
      <c r="I1177" s="57"/>
      <c r="J1177" s="57"/>
      <c r="K1177" s="57"/>
      <c r="L1177" s="57"/>
      <c r="M1177" s="57"/>
      <c r="N1177" s="57"/>
      <c r="O1177" s="57"/>
      <c r="P1177" s="60"/>
      <c r="Q1177" s="57"/>
      <c r="R1177" s="57"/>
      <c r="S1177" s="57"/>
      <c r="T1177" s="57"/>
      <c r="U1177" s="57"/>
      <c r="V1177" s="57"/>
      <c r="W1177" s="57"/>
      <c r="X1177" s="57"/>
      <c r="Y1177" s="57"/>
      <c r="Z1177" s="57"/>
      <c r="AA1177" s="57"/>
    </row>
    <row r="1178" spans="1:27">
      <c r="A1178" s="57"/>
      <c r="B1178" s="57"/>
      <c r="C1178" s="60"/>
      <c r="D1178" s="57"/>
      <c r="E1178" s="57"/>
      <c r="F1178" s="57"/>
      <c r="G1178" s="57"/>
      <c r="H1178" s="57"/>
      <c r="I1178" s="57"/>
      <c r="J1178" s="57"/>
      <c r="K1178" s="57"/>
      <c r="L1178" s="57"/>
      <c r="M1178" s="57"/>
      <c r="N1178" s="57"/>
      <c r="O1178" s="57"/>
      <c r="P1178" s="60"/>
      <c r="Q1178" s="57"/>
      <c r="R1178" s="57"/>
      <c r="S1178" s="57"/>
      <c r="T1178" s="57"/>
      <c r="U1178" s="57"/>
      <c r="V1178" s="57"/>
      <c r="W1178" s="57"/>
      <c r="X1178" s="57"/>
      <c r="Y1178" s="57"/>
      <c r="Z1178" s="57"/>
      <c r="AA1178" s="57"/>
    </row>
    <row r="1179" spans="1:27">
      <c r="A1179" s="57"/>
      <c r="B1179" s="57"/>
      <c r="C1179" s="60"/>
      <c r="D1179" s="57"/>
      <c r="E1179" s="57"/>
      <c r="F1179" s="57"/>
      <c r="G1179" s="57"/>
      <c r="H1179" s="57"/>
      <c r="I1179" s="57"/>
      <c r="J1179" s="57"/>
      <c r="K1179" s="57"/>
      <c r="L1179" s="57"/>
      <c r="M1179" s="57"/>
      <c r="N1179" s="57"/>
      <c r="O1179" s="57"/>
      <c r="P1179" s="60"/>
      <c r="Q1179" s="57"/>
      <c r="R1179" s="57"/>
      <c r="S1179" s="57"/>
      <c r="T1179" s="57"/>
      <c r="U1179" s="57"/>
      <c r="V1179" s="57"/>
      <c r="W1179" s="57"/>
      <c r="X1179" s="57"/>
      <c r="Y1179" s="57"/>
      <c r="Z1179" s="57"/>
      <c r="AA1179" s="57"/>
    </row>
    <row r="1180" spans="1:27">
      <c r="A1180" s="57"/>
      <c r="B1180" s="57"/>
      <c r="C1180" s="60"/>
      <c r="D1180" s="57"/>
      <c r="E1180" s="57"/>
      <c r="F1180" s="57"/>
      <c r="G1180" s="57"/>
      <c r="H1180" s="57"/>
      <c r="I1180" s="57"/>
      <c r="J1180" s="57"/>
      <c r="K1180" s="57"/>
      <c r="L1180" s="57"/>
      <c r="M1180" s="57"/>
      <c r="N1180" s="57"/>
      <c r="O1180" s="57"/>
      <c r="P1180" s="60"/>
      <c r="Q1180" s="57"/>
      <c r="R1180" s="57"/>
      <c r="S1180" s="57"/>
      <c r="T1180" s="57"/>
      <c r="U1180" s="57"/>
      <c r="V1180" s="57"/>
      <c r="W1180" s="57"/>
      <c r="X1180" s="57"/>
      <c r="Y1180" s="57"/>
      <c r="Z1180" s="57"/>
      <c r="AA1180" s="57"/>
    </row>
    <row r="1181" spans="1:27">
      <c r="A1181" s="57"/>
      <c r="B1181" s="57"/>
      <c r="C1181" s="60"/>
      <c r="D1181" s="57"/>
      <c r="E1181" s="57"/>
      <c r="F1181" s="57"/>
      <c r="G1181" s="57"/>
      <c r="H1181" s="57"/>
      <c r="I1181" s="57"/>
      <c r="J1181" s="57"/>
      <c r="K1181" s="57"/>
      <c r="L1181" s="57"/>
      <c r="M1181" s="57"/>
      <c r="N1181" s="57"/>
      <c r="O1181" s="57"/>
      <c r="P1181" s="60"/>
      <c r="Q1181" s="57"/>
      <c r="R1181" s="57"/>
      <c r="S1181" s="57"/>
      <c r="T1181" s="57"/>
      <c r="U1181" s="57"/>
      <c r="V1181" s="57"/>
      <c r="W1181" s="57"/>
      <c r="X1181" s="57"/>
      <c r="Y1181" s="57"/>
      <c r="Z1181" s="57"/>
      <c r="AA1181" s="57"/>
    </row>
    <row r="1182" spans="1:27">
      <c r="A1182" s="57"/>
      <c r="B1182" s="57"/>
      <c r="C1182" s="60"/>
      <c r="D1182" s="57"/>
      <c r="E1182" s="57"/>
      <c r="F1182" s="57"/>
      <c r="G1182" s="57"/>
      <c r="H1182" s="57"/>
      <c r="I1182" s="57"/>
      <c r="J1182" s="57"/>
      <c r="K1182" s="57"/>
      <c r="L1182" s="57"/>
      <c r="M1182" s="57"/>
      <c r="N1182" s="57"/>
      <c r="O1182" s="57"/>
      <c r="P1182" s="60"/>
      <c r="Q1182" s="57"/>
      <c r="R1182" s="57"/>
      <c r="S1182" s="57"/>
      <c r="T1182" s="57"/>
      <c r="U1182" s="57"/>
      <c r="V1182" s="57"/>
      <c r="W1182" s="57"/>
      <c r="X1182" s="57"/>
      <c r="Y1182" s="57"/>
      <c r="Z1182" s="57"/>
      <c r="AA1182" s="57"/>
    </row>
    <row r="1183" spans="1:27">
      <c r="A1183" s="57"/>
      <c r="B1183" s="57"/>
      <c r="C1183" s="60"/>
      <c r="D1183" s="57"/>
      <c r="E1183" s="57"/>
      <c r="F1183" s="57"/>
      <c r="G1183" s="57"/>
      <c r="H1183" s="57"/>
      <c r="I1183" s="57"/>
      <c r="J1183" s="57"/>
      <c r="K1183" s="57"/>
      <c r="L1183" s="57"/>
      <c r="M1183" s="57"/>
      <c r="N1183" s="57"/>
      <c r="O1183" s="57"/>
      <c r="P1183" s="60"/>
      <c r="Q1183" s="57"/>
      <c r="R1183" s="57"/>
      <c r="S1183" s="57"/>
      <c r="T1183" s="57"/>
      <c r="U1183" s="57"/>
      <c r="V1183" s="57"/>
      <c r="W1183" s="57"/>
      <c r="X1183" s="57"/>
      <c r="Y1183" s="57"/>
      <c r="Z1183" s="57"/>
      <c r="AA1183" s="57"/>
    </row>
    <row r="1184" spans="1:27">
      <c r="A1184" s="57"/>
      <c r="B1184" s="57"/>
      <c r="C1184" s="60"/>
      <c r="D1184" s="57"/>
      <c r="E1184" s="57"/>
      <c r="F1184" s="57"/>
      <c r="G1184" s="57"/>
      <c r="H1184" s="57"/>
      <c r="I1184" s="57"/>
      <c r="J1184" s="57"/>
      <c r="K1184" s="57"/>
      <c r="L1184" s="57"/>
      <c r="M1184" s="57"/>
      <c r="N1184" s="57"/>
      <c r="O1184" s="57"/>
      <c r="P1184" s="60"/>
      <c r="Q1184" s="57"/>
      <c r="R1184" s="57"/>
      <c r="S1184" s="57"/>
      <c r="T1184" s="57"/>
      <c r="U1184" s="57"/>
      <c r="V1184" s="57"/>
      <c r="W1184" s="57"/>
      <c r="X1184" s="57"/>
      <c r="Y1184" s="57"/>
      <c r="Z1184" s="57"/>
      <c r="AA1184" s="57"/>
    </row>
    <row r="1185" spans="1:27">
      <c r="A1185" s="57"/>
      <c r="B1185" s="57"/>
      <c r="C1185" s="60"/>
      <c r="D1185" s="57"/>
      <c r="E1185" s="57"/>
      <c r="F1185" s="57"/>
      <c r="G1185" s="57"/>
      <c r="H1185" s="57"/>
      <c r="I1185" s="57"/>
      <c r="J1185" s="57"/>
      <c r="K1185" s="57"/>
      <c r="L1185" s="57"/>
      <c r="M1185" s="57"/>
      <c r="N1185" s="57"/>
      <c r="O1185" s="57"/>
      <c r="P1185" s="60"/>
      <c r="Q1185" s="57"/>
      <c r="R1185" s="57"/>
      <c r="S1185" s="57"/>
      <c r="T1185" s="57"/>
      <c r="U1185" s="57"/>
      <c r="V1185" s="57"/>
      <c r="W1185" s="57"/>
      <c r="X1185" s="57"/>
      <c r="Y1185" s="57"/>
      <c r="Z1185" s="57"/>
      <c r="AA1185" s="57"/>
    </row>
    <row r="1186" spans="1:27">
      <c r="A1186" s="57"/>
      <c r="B1186" s="57"/>
      <c r="C1186" s="60"/>
      <c r="D1186" s="57"/>
      <c r="E1186" s="57"/>
      <c r="F1186" s="57"/>
      <c r="G1186" s="57"/>
      <c r="H1186" s="57"/>
      <c r="I1186" s="57"/>
      <c r="J1186" s="57"/>
      <c r="K1186" s="57"/>
      <c r="L1186" s="57"/>
      <c r="M1186" s="57"/>
      <c r="N1186" s="57"/>
      <c r="O1186" s="57"/>
      <c r="P1186" s="60"/>
      <c r="Q1186" s="57"/>
      <c r="R1186" s="57"/>
      <c r="S1186" s="57"/>
      <c r="T1186" s="57"/>
      <c r="U1186" s="57"/>
      <c r="V1186" s="57"/>
      <c r="W1186" s="57"/>
      <c r="X1186" s="57"/>
      <c r="Y1186" s="57"/>
      <c r="Z1186" s="57"/>
      <c r="AA1186" s="57"/>
    </row>
    <row r="1187" spans="1:27">
      <c r="A1187" s="57"/>
      <c r="B1187" s="57"/>
      <c r="C1187" s="60"/>
      <c r="D1187" s="57"/>
      <c r="E1187" s="57"/>
      <c r="F1187" s="57"/>
      <c r="G1187" s="57"/>
      <c r="H1187" s="57"/>
      <c r="I1187" s="57"/>
      <c r="J1187" s="57"/>
      <c r="K1187" s="57"/>
      <c r="L1187" s="57"/>
      <c r="M1187" s="57"/>
      <c r="N1187" s="57"/>
      <c r="O1187" s="57"/>
      <c r="P1187" s="60"/>
      <c r="Q1187" s="57"/>
      <c r="R1187" s="57"/>
      <c r="S1187" s="57"/>
      <c r="T1187" s="57"/>
      <c r="U1187" s="57"/>
      <c r="V1187" s="57"/>
      <c r="W1187" s="57"/>
      <c r="X1187" s="57"/>
      <c r="Y1187" s="57"/>
      <c r="Z1187" s="57"/>
      <c r="AA1187" s="57"/>
    </row>
    <row r="1188" spans="1:27">
      <c r="A1188" s="57"/>
      <c r="B1188" s="57"/>
      <c r="C1188" s="60"/>
      <c r="D1188" s="57"/>
      <c r="E1188" s="57"/>
      <c r="F1188" s="57"/>
      <c r="G1188" s="57"/>
      <c r="H1188" s="57"/>
      <c r="I1188" s="57"/>
      <c r="J1188" s="57"/>
      <c r="K1188" s="57"/>
      <c r="L1188" s="57"/>
      <c r="M1188" s="57"/>
      <c r="N1188" s="57"/>
      <c r="O1188" s="57"/>
      <c r="P1188" s="60"/>
      <c r="Q1188" s="57"/>
      <c r="R1188" s="57"/>
      <c r="S1188" s="57"/>
      <c r="T1188" s="57"/>
      <c r="U1188" s="57"/>
      <c r="V1188" s="57"/>
      <c r="W1188" s="57"/>
      <c r="X1188" s="57"/>
      <c r="Y1188" s="57"/>
      <c r="Z1188" s="57"/>
      <c r="AA1188" s="57"/>
    </row>
    <row r="1189" spans="1:27">
      <c r="A1189" s="57"/>
      <c r="B1189" s="57"/>
      <c r="C1189" s="60"/>
      <c r="D1189" s="57"/>
      <c r="E1189" s="57"/>
      <c r="F1189" s="57"/>
      <c r="G1189" s="57"/>
      <c r="H1189" s="57"/>
      <c r="I1189" s="57"/>
      <c r="J1189" s="57"/>
      <c r="K1189" s="57"/>
      <c r="L1189" s="57"/>
      <c r="M1189" s="57"/>
      <c r="N1189" s="57"/>
      <c r="O1189" s="57"/>
      <c r="P1189" s="60"/>
      <c r="Q1189" s="57"/>
      <c r="R1189" s="57"/>
      <c r="S1189" s="57"/>
      <c r="T1189" s="57"/>
      <c r="U1189" s="57"/>
      <c r="V1189" s="57"/>
      <c r="W1189" s="57"/>
      <c r="X1189" s="57"/>
      <c r="Y1189" s="57"/>
      <c r="Z1189" s="57"/>
      <c r="AA1189" s="57"/>
    </row>
    <row r="1190" spans="1:27">
      <c r="A1190" s="57"/>
      <c r="B1190" s="57"/>
      <c r="C1190" s="60"/>
      <c r="D1190" s="57"/>
      <c r="E1190" s="57"/>
      <c r="F1190" s="57"/>
      <c r="G1190" s="57"/>
      <c r="H1190" s="57"/>
      <c r="I1190" s="57"/>
      <c r="J1190" s="57"/>
      <c r="K1190" s="57"/>
      <c r="L1190" s="57"/>
      <c r="M1190" s="57"/>
      <c r="N1190" s="57"/>
      <c r="O1190" s="57"/>
      <c r="P1190" s="60"/>
      <c r="Q1190" s="57"/>
      <c r="R1190" s="57"/>
      <c r="S1190" s="57"/>
      <c r="T1190" s="57"/>
      <c r="U1190" s="57"/>
      <c r="V1190" s="57"/>
      <c r="W1190" s="57"/>
      <c r="X1190" s="57"/>
      <c r="Y1190" s="57"/>
      <c r="Z1190" s="57"/>
      <c r="AA1190" s="57"/>
    </row>
    <row r="1191" spans="1:27">
      <c r="A1191" s="57"/>
      <c r="B1191" s="57"/>
      <c r="C1191" s="60"/>
      <c r="D1191" s="57"/>
      <c r="E1191" s="57"/>
      <c r="F1191" s="57"/>
      <c r="G1191" s="57"/>
      <c r="H1191" s="57"/>
      <c r="I1191" s="57"/>
      <c r="J1191" s="57"/>
      <c r="K1191" s="57"/>
      <c r="L1191" s="57"/>
      <c r="M1191" s="57"/>
      <c r="N1191" s="57"/>
      <c r="O1191" s="57"/>
      <c r="P1191" s="60"/>
      <c r="Q1191" s="57"/>
      <c r="R1191" s="57"/>
      <c r="S1191" s="57"/>
      <c r="T1191" s="57"/>
      <c r="U1191" s="57"/>
      <c r="V1191" s="57"/>
      <c r="W1191" s="57"/>
      <c r="X1191" s="57"/>
      <c r="Y1191" s="57"/>
      <c r="Z1191" s="57"/>
      <c r="AA1191" s="57"/>
    </row>
    <row r="1192" spans="1:27">
      <c r="A1192" s="57"/>
      <c r="B1192" s="57"/>
      <c r="C1192" s="60"/>
      <c r="D1192" s="57"/>
      <c r="E1192" s="57"/>
      <c r="F1192" s="57"/>
      <c r="G1192" s="57"/>
      <c r="H1192" s="57"/>
      <c r="I1192" s="57"/>
      <c r="J1192" s="57"/>
      <c r="K1192" s="57"/>
      <c r="L1192" s="57"/>
      <c r="M1192" s="57"/>
      <c r="N1192" s="57"/>
      <c r="O1192" s="57"/>
      <c r="P1192" s="60"/>
      <c r="Q1192" s="57"/>
      <c r="R1192" s="57"/>
      <c r="S1192" s="57"/>
      <c r="T1192" s="57"/>
      <c r="U1192" s="57"/>
      <c r="V1192" s="57"/>
      <c r="W1192" s="57"/>
      <c r="X1192" s="57"/>
      <c r="Y1192" s="57"/>
      <c r="Z1192" s="57"/>
      <c r="AA1192" s="57"/>
    </row>
    <row r="1193" spans="1:27">
      <c r="A1193" s="57"/>
      <c r="B1193" s="57"/>
      <c r="C1193" s="60"/>
      <c r="D1193" s="57"/>
      <c r="E1193" s="57"/>
      <c r="F1193" s="57"/>
      <c r="G1193" s="57"/>
      <c r="H1193" s="57"/>
      <c r="I1193" s="57"/>
      <c r="J1193" s="57"/>
      <c r="K1193" s="57"/>
      <c r="L1193" s="57"/>
      <c r="M1193" s="57"/>
      <c r="N1193" s="57"/>
      <c r="O1193" s="57"/>
      <c r="P1193" s="60"/>
      <c r="Q1193" s="57"/>
      <c r="R1193" s="57"/>
      <c r="S1193" s="57"/>
      <c r="T1193" s="57"/>
      <c r="U1193" s="57"/>
      <c r="V1193" s="57"/>
      <c r="W1193" s="57"/>
      <c r="X1193" s="57"/>
      <c r="Y1193" s="57"/>
      <c r="Z1193" s="57"/>
      <c r="AA1193" s="57"/>
    </row>
    <row r="1194" spans="1:27">
      <c r="A1194" s="57"/>
      <c r="B1194" s="57"/>
      <c r="C1194" s="60"/>
      <c r="D1194" s="57"/>
      <c r="E1194" s="57"/>
      <c r="F1194" s="57"/>
      <c r="G1194" s="57"/>
      <c r="H1194" s="57"/>
      <c r="I1194" s="57"/>
      <c r="J1194" s="57"/>
      <c r="K1194" s="57"/>
      <c r="L1194" s="57"/>
      <c r="M1194" s="57"/>
      <c r="N1194" s="57"/>
      <c r="O1194" s="57"/>
      <c r="P1194" s="60"/>
      <c r="Q1194" s="57"/>
      <c r="R1194" s="57"/>
      <c r="S1194" s="57"/>
      <c r="T1194" s="57"/>
      <c r="U1194" s="57"/>
      <c r="V1194" s="57"/>
      <c r="W1194" s="57"/>
      <c r="X1194" s="57"/>
      <c r="Y1194" s="57"/>
      <c r="Z1194" s="57"/>
      <c r="AA1194" s="57"/>
    </row>
    <row r="1195" spans="1:27">
      <c r="A1195" s="57"/>
      <c r="B1195" s="57"/>
      <c r="C1195" s="60"/>
      <c r="D1195" s="57"/>
      <c r="E1195" s="57"/>
      <c r="F1195" s="57"/>
      <c r="G1195" s="57"/>
      <c r="H1195" s="57"/>
      <c r="I1195" s="57"/>
      <c r="J1195" s="57"/>
      <c r="K1195" s="57"/>
      <c r="L1195" s="57"/>
      <c r="M1195" s="57"/>
      <c r="N1195" s="57"/>
      <c r="O1195" s="57"/>
      <c r="P1195" s="60"/>
      <c r="Q1195" s="57"/>
      <c r="R1195" s="57"/>
      <c r="S1195" s="57"/>
      <c r="T1195" s="57"/>
      <c r="U1195" s="57"/>
      <c r="V1195" s="57"/>
      <c r="W1195" s="57"/>
      <c r="X1195" s="57"/>
      <c r="Y1195" s="57"/>
      <c r="Z1195" s="57"/>
      <c r="AA1195" s="57"/>
    </row>
    <row r="1196" spans="1:27">
      <c r="A1196" s="57"/>
      <c r="B1196" s="57"/>
      <c r="C1196" s="60"/>
      <c r="D1196" s="57"/>
      <c r="E1196" s="57"/>
      <c r="F1196" s="57"/>
      <c r="G1196" s="57"/>
      <c r="H1196" s="57"/>
      <c r="I1196" s="57"/>
      <c r="J1196" s="57"/>
      <c r="K1196" s="57"/>
      <c r="L1196" s="57"/>
      <c r="M1196" s="57"/>
      <c r="N1196" s="57"/>
      <c r="O1196" s="57"/>
      <c r="P1196" s="60"/>
      <c r="Q1196" s="57"/>
      <c r="R1196" s="57"/>
      <c r="S1196" s="57"/>
      <c r="T1196" s="57"/>
      <c r="U1196" s="57"/>
      <c r="V1196" s="57"/>
      <c r="W1196" s="57"/>
      <c r="X1196" s="57"/>
      <c r="Y1196" s="57"/>
      <c r="Z1196" s="57"/>
      <c r="AA1196" s="57"/>
    </row>
    <row r="1197" spans="1:27">
      <c r="A1197" s="57"/>
      <c r="B1197" s="57"/>
      <c r="C1197" s="60"/>
      <c r="D1197" s="57"/>
      <c r="E1197" s="57"/>
      <c r="F1197" s="57"/>
      <c r="G1197" s="57"/>
      <c r="H1197" s="57"/>
      <c r="I1197" s="57"/>
      <c r="J1197" s="57"/>
      <c r="K1197" s="57"/>
      <c r="L1197" s="57"/>
      <c r="M1197" s="57"/>
      <c r="N1197" s="57"/>
      <c r="O1197" s="57"/>
      <c r="P1197" s="60"/>
      <c r="Q1197" s="57"/>
      <c r="R1197" s="57"/>
      <c r="S1197" s="57"/>
      <c r="T1197" s="57"/>
      <c r="U1197" s="57"/>
      <c r="V1197" s="57"/>
      <c r="W1197" s="57"/>
      <c r="X1197" s="57"/>
      <c r="Y1197" s="57"/>
      <c r="Z1197" s="57"/>
      <c r="AA1197" s="57"/>
    </row>
    <row r="1198" spans="1:27">
      <c r="A1198" s="57"/>
      <c r="B1198" s="57"/>
      <c r="C1198" s="60"/>
      <c r="D1198" s="57"/>
      <c r="E1198" s="57"/>
      <c r="F1198" s="57"/>
      <c r="G1198" s="57"/>
      <c r="H1198" s="57"/>
      <c r="I1198" s="57"/>
      <c r="J1198" s="57"/>
      <c r="K1198" s="57"/>
      <c r="L1198" s="57"/>
      <c r="M1198" s="57"/>
      <c r="N1198" s="57"/>
      <c r="O1198" s="57"/>
      <c r="P1198" s="60"/>
      <c r="Q1198" s="57"/>
      <c r="R1198" s="57"/>
      <c r="S1198" s="57"/>
      <c r="T1198" s="57"/>
      <c r="U1198" s="57"/>
      <c r="V1198" s="57"/>
      <c r="W1198" s="57"/>
      <c r="X1198" s="57"/>
      <c r="Y1198" s="57"/>
      <c r="Z1198" s="57"/>
      <c r="AA1198" s="57"/>
    </row>
    <row r="1199" spans="1:27">
      <c r="A1199" s="57"/>
      <c r="B1199" s="57"/>
      <c r="C1199" s="60"/>
      <c r="D1199" s="57"/>
      <c r="E1199" s="57"/>
      <c r="F1199" s="57"/>
      <c r="G1199" s="57"/>
      <c r="H1199" s="57"/>
      <c r="I1199" s="57"/>
      <c r="J1199" s="57"/>
      <c r="K1199" s="57"/>
      <c r="L1199" s="57"/>
      <c r="M1199" s="57"/>
      <c r="N1199" s="57"/>
      <c r="O1199" s="57"/>
      <c r="P1199" s="60"/>
      <c r="Q1199" s="57"/>
      <c r="R1199" s="57"/>
      <c r="S1199" s="57"/>
      <c r="T1199" s="57"/>
      <c r="U1199" s="57"/>
      <c r="V1199" s="57"/>
      <c r="W1199" s="57"/>
      <c r="X1199" s="57"/>
      <c r="Y1199" s="57"/>
      <c r="Z1199" s="57"/>
      <c r="AA1199" s="57"/>
    </row>
    <row r="1200" spans="1:27">
      <c r="A1200" s="57"/>
      <c r="B1200" s="57"/>
      <c r="C1200" s="60"/>
      <c r="D1200" s="57"/>
      <c r="E1200" s="57"/>
      <c r="F1200" s="57"/>
      <c r="G1200" s="57"/>
      <c r="H1200" s="57"/>
      <c r="I1200" s="57"/>
      <c r="J1200" s="57"/>
      <c r="K1200" s="57"/>
      <c r="L1200" s="57"/>
      <c r="M1200" s="57"/>
      <c r="N1200" s="57"/>
      <c r="O1200" s="57"/>
      <c r="P1200" s="60"/>
      <c r="Q1200" s="57"/>
      <c r="R1200" s="57"/>
      <c r="S1200" s="57"/>
      <c r="T1200" s="57"/>
      <c r="U1200" s="57"/>
      <c r="V1200" s="57"/>
      <c r="W1200" s="57"/>
      <c r="X1200" s="57"/>
      <c r="Y1200" s="57"/>
      <c r="Z1200" s="57"/>
      <c r="AA1200" s="57"/>
    </row>
    <row r="1201" spans="1:27">
      <c r="A1201" s="57"/>
      <c r="B1201" s="57"/>
      <c r="C1201" s="60"/>
      <c r="D1201" s="57"/>
      <c r="E1201" s="57"/>
      <c r="F1201" s="57"/>
      <c r="G1201" s="57"/>
      <c r="H1201" s="57"/>
      <c r="I1201" s="57"/>
      <c r="J1201" s="57"/>
      <c r="K1201" s="57"/>
      <c r="L1201" s="57"/>
      <c r="M1201" s="57"/>
      <c r="N1201" s="57"/>
      <c r="O1201" s="57"/>
      <c r="P1201" s="60"/>
      <c r="Q1201" s="57"/>
      <c r="R1201" s="57"/>
      <c r="S1201" s="57"/>
      <c r="T1201" s="57"/>
      <c r="U1201" s="57"/>
      <c r="V1201" s="57"/>
      <c r="W1201" s="57"/>
      <c r="X1201" s="57"/>
      <c r="Y1201" s="57"/>
      <c r="Z1201" s="57"/>
      <c r="AA1201" s="57"/>
    </row>
    <row r="1202" spans="1:27">
      <c r="A1202" s="57"/>
      <c r="B1202" s="57"/>
      <c r="C1202" s="60"/>
      <c r="D1202" s="57"/>
      <c r="E1202" s="57"/>
      <c r="F1202" s="57"/>
      <c r="G1202" s="57"/>
      <c r="H1202" s="57"/>
      <c r="I1202" s="57"/>
      <c r="J1202" s="57"/>
      <c r="K1202" s="57"/>
      <c r="L1202" s="57"/>
      <c r="M1202" s="57"/>
      <c r="N1202" s="57"/>
      <c r="O1202" s="57"/>
      <c r="P1202" s="60"/>
      <c r="Q1202" s="57"/>
      <c r="R1202" s="57"/>
      <c r="S1202" s="57"/>
      <c r="T1202" s="57"/>
      <c r="U1202" s="57"/>
      <c r="V1202" s="57"/>
      <c r="W1202" s="57"/>
      <c r="X1202" s="57"/>
      <c r="Y1202" s="57"/>
      <c r="Z1202" s="57"/>
      <c r="AA1202" s="57"/>
    </row>
    <row r="1203" spans="1:27">
      <c r="A1203" s="57"/>
      <c r="B1203" s="57"/>
      <c r="C1203" s="60"/>
      <c r="D1203" s="57"/>
      <c r="E1203" s="57"/>
      <c r="F1203" s="57"/>
      <c r="G1203" s="57"/>
      <c r="H1203" s="57"/>
      <c r="I1203" s="57"/>
      <c r="J1203" s="57"/>
      <c r="K1203" s="57"/>
      <c r="L1203" s="57"/>
      <c r="M1203" s="57"/>
      <c r="N1203" s="57"/>
      <c r="O1203" s="57"/>
      <c r="P1203" s="60"/>
      <c r="Q1203" s="57"/>
      <c r="R1203" s="57"/>
      <c r="S1203" s="57"/>
      <c r="T1203" s="57"/>
      <c r="U1203" s="57"/>
      <c r="V1203" s="57"/>
      <c r="W1203" s="57"/>
      <c r="X1203" s="57"/>
      <c r="Y1203" s="57"/>
      <c r="Z1203" s="57"/>
      <c r="AA1203" s="57"/>
    </row>
    <row r="1204" spans="1:27">
      <c r="A1204" s="57"/>
      <c r="B1204" s="57"/>
      <c r="C1204" s="60"/>
      <c r="D1204" s="57"/>
      <c r="E1204" s="57"/>
      <c r="F1204" s="57"/>
      <c r="G1204" s="57"/>
      <c r="H1204" s="57"/>
      <c r="I1204" s="57"/>
      <c r="J1204" s="57"/>
      <c r="K1204" s="57"/>
      <c r="L1204" s="57"/>
      <c r="M1204" s="57"/>
      <c r="N1204" s="57"/>
      <c r="O1204" s="57"/>
      <c r="P1204" s="60"/>
      <c r="Q1204" s="57"/>
      <c r="R1204" s="57"/>
      <c r="S1204" s="57"/>
      <c r="T1204" s="57"/>
      <c r="U1204" s="57"/>
      <c r="V1204" s="57"/>
      <c r="W1204" s="57"/>
      <c r="X1204" s="57"/>
      <c r="Y1204" s="57"/>
      <c r="Z1204" s="57"/>
      <c r="AA1204" s="57"/>
    </row>
    <row r="1205" spans="1:27">
      <c r="A1205" s="57"/>
      <c r="B1205" s="57"/>
      <c r="C1205" s="60"/>
      <c r="D1205" s="57"/>
      <c r="E1205" s="57"/>
      <c r="F1205" s="57"/>
      <c r="G1205" s="57"/>
      <c r="H1205" s="57"/>
      <c r="I1205" s="57"/>
      <c r="J1205" s="57"/>
      <c r="K1205" s="57"/>
      <c r="L1205" s="57"/>
      <c r="M1205" s="57"/>
      <c r="N1205" s="57"/>
      <c r="O1205" s="57"/>
      <c r="P1205" s="60"/>
      <c r="Q1205" s="57"/>
      <c r="R1205" s="57"/>
      <c r="S1205" s="57"/>
      <c r="T1205" s="57"/>
      <c r="U1205" s="57"/>
      <c r="V1205" s="57"/>
      <c r="W1205" s="57"/>
      <c r="X1205" s="57"/>
      <c r="Y1205" s="57"/>
      <c r="Z1205" s="57"/>
      <c r="AA1205" s="57"/>
    </row>
    <row r="1206" spans="1:27">
      <c r="A1206" s="57"/>
      <c r="B1206" s="57"/>
      <c r="C1206" s="60"/>
      <c r="D1206" s="57"/>
      <c r="E1206" s="57"/>
      <c r="F1206" s="57"/>
      <c r="G1206" s="57"/>
      <c r="H1206" s="57"/>
      <c r="I1206" s="57"/>
      <c r="J1206" s="57"/>
      <c r="K1206" s="57"/>
      <c r="L1206" s="57"/>
      <c r="M1206" s="57"/>
      <c r="N1206" s="57"/>
      <c r="O1206" s="57"/>
      <c r="P1206" s="60"/>
      <c r="Q1206" s="57"/>
      <c r="R1206" s="57"/>
      <c r="S1206" s="57"/>
      <c r="T1206" s="57"/>
      <c r="U1206" s="57"/>
      <c r="V1206" s="57"/>
      <c r="W1206" s="57"/>
      <c r="X1206" s="57"/>
      <c r="Y1206" s="57"/>
      <c r="Z1206" s="57"/>
      <c r="AA1206" s="57"/>
    </row>
    <row r="1207" spans="1:27">
      <c r="A1207" s="57"/>
      <c r="B1207" s="57"/>
      <c r="C1207" s="60"/>
      <c r="D1207" s="57"/>
      <c r="E1207" s="57"/>
      <c r="F1207" s="57"/>
      <c r="G1207" s="57"/>
      <c r="H1207" s="57"/>
      <c r="I1207" s="57"/>
      <c r="J1207" s="57"/>
      <c r="K1207" s="57"/>
      <c r="L1207" s="57"/>
      <c r="M1207" s="57"/>
      <c r="N1207" s="57"/>
      <c r="O1207" s="57"/>
      <c r="P1207" s="60"/>
      <c r="Q1207" s="57"/>
      <c r="R1207" s="57"/>
      <c r="S1207" s="57"/>
      <c r="T1207" s="57"/>
      <c r="U1207" s="57"/>
      <c r="V1207" s="57"/>
      <c r="W1207" s="57"/>
      <c r="X1207" s="57"/>
      <c r="Y1207" s="57"/>
      <c r="Z1207" s="57"/>
      <c r="AA1207" s="57"/>
    </row>
    <row r="1208" spans="1:27">
      <c r="A1208" s="57"/>
      <c r="B1208" s="57"/>
      <c r="C1208" s="60"/>
      <c r="D1208" s="57"/>
      <c r="E1208" s="57"/>
      <c r="F1208" s="57"/>
      <c r="G1208" s="57"/>
      <c r="H1208" s="57"/>
      <c r="I1208" s="57"/>
      <c r="J1208" s="57"/>
      <c r="K1208" s="57"/>
      <c r="L1208" s="57"/>
      <c r="M1208" s="57"/>
      <c r="N1208" s="57"/>
      <c r="O1208" s="57"/>
      <c r="P1208" s="60"/>
      <c r="Q1208" s="57"/>
      <c r="R1208" s="57"/>
      <c r="S1208" s="57"/>
      <c r="T1208" s="57"/>
      <c r="U1208" s="57"/>
      <c r="V1208" s="57"/>
      <c r="W1208" s="57"/>
      <c r="X1208" s="57"/>
      <c r="Y1208" s="57"/>
      <c r="Z1208" s="57"/>
      <c r="AA1208" s="57"/>
    </row>
    <row r="1209" spans="1:27">
      <c r="A1209" s="57"/>
      <c r="B1209" s="57"/>
      <c r="C1209" s="60"/>
      <c r="D1209" s="57"/>
      <c r="E1209" s="57"/>
      <c r="F1209" s="57"/>
      <c r="G1209" s="57"/>
      <c r="H1209" s="57"/>
      <c r="I1209" s="57"/>
      <c r="J1209" s="57"/>
      <c r="K1209" s="57"/>
      <c r="L1209" s="57"/>
      <c r="M1209" s="57"/>
      <c r="N1209" s="57"/>
      <c r="O1209" s="57"/>
      <c r="P1209" s="60"/>
      <c r="Q1209" s="57"/>
      <c r="R1209" s="57"/>
      <c r="S1209" s="57"/>
      <c r="T1209" s="57"/>
      <c r="U1209" s="57"/>
      <c r="V1209" s="57"/>
      <c r="W1209" s="57"/>
      <c r="X1209" s="57"/>
      <c r="Y1209" s="57"/>
      <c r="Z1209" s="57"/>
      <c r="AA1209" s="57"/>
    </row>
    <row r="1210" spans="1:27">
      <c r="A1210" s="57"/>
      <c r="B1210" s="57"/>
      <c r="C1210" s="60"/>
      <c r="D1210" s="57"/>
      <c r="E1210" s="57"/>
      <c r="F1210" s="57"/>
      <c r="G1210" s="57"/>
      <c r="H1210" s="57"/>
      <c r="I1210" s="57"/>
      <c r="J1210" s="57"/>
      <c r="K1210" s="57"/>
      <c r="L1210" s="57"/>
      <c r="M1210" s="57"/>
      <c r="N1210" s="57"/>
      <c r="O1210" s="57"/>
      <c r="P1210" s="60"/>
      <c r="Q1210" s="57"/>
      <c r="R1210" s="57"/>
      <c r="S1210" s="57"/>
      <c r="T1210" s="57"/>
      <c r="U1210" s="57"/>
      <c r="V1210" s="57"/>
      <c r="W1210" s="57"/>
      <c r="X1210" s="57"/>
      <c r="Y1210" s="57"/>
      <c r="Z1210" s="57"/>
      <c r="AA1210" s="57"/>
    </row>
    <row r="1211" spans="1:27">
      <c r="A1211" s="57"/>
      <c r="B1211" s="57"/>
      <c r="C1211" s="60"/>
      <c r="D1211" s="57"/>
      <c r="E1211" s="57"/>
      <c r="F1211" s="57"/>
      <c r="G1211" s="57"/>
      <c r="H1211" s="57"/>
      <c r="I1211" s="57"/>
      <c r="J1211" s="57"/>
      <c r="K1211" s="57"/>
      <c r="L1211" s="57"/>
      <c r="M1211" s="57"/>
      <c r="N1211" s="57"/>
      <c r="O1211" s="57"/>
      <c r="P1211" s="60"/>
      <c r="Q1211" s="57"/>
      <c r="R1211" s="57"/>
      <c r="S1211" s="57"/>
      <c r="T1211" s="57"/>
      <c r="U1211" s="57"/>
      <c r="V1211" s="57"/>
      <c r="W1211" s="57"/>
      <c r="X1211" s="57"/>
      <c r="Y1211" s="57"/>
      <c r="Z1211" s="57"/>
      <c r="AA1211" s="57"/>
    </row>
    <row r="1212" spans="1:27">
      <c r="A1212" s="57"/>
      <c r="B1212" s="57"/>
      <c r="C1212" s="60"/>
      <c r="D1212" s="57"/>
      <c r="E1212" s="57"/>
      <c r="F1212" s="57"/>
      <c r="G1212" s="57"/>
      <c r="H1212" s="57"/>
      <c r="I1212" s="57"/>
      <c r="J1212" s="57"/>
      <c r="K1212" s="57"/>
      <c r="L1212" s="57"/>
      <c r="M1212" s="57"/>
      <c r="N1212" s="57"/>
      <c r="O1212" s="57"/>
      <c r="P1212" s="60"/>
      <c r="Q1212" s="57"/>
      <c r="R1212" s="57"/>
      <c r="S1212" s="57"/>
      <c r="T1212" s="57"/>
      <c r="U1212" s="57"/>
      <c r="V1212" s="57"/>
      <c r="W1212" s="57"/>
      <c r="X1212" s="57"/>
      <c r="Y1212" s="57"/>
      <c r="Z1212" s="57"/>
      <c r="AA1212" s="57"/>
    </row>
    <row r="1213" spans="1:27">
      <c r="A1213" s="57"/>
      <c r="B1213" s="57"/>
      <c r="C1213" s="60"/>
      <c r="D1213" s="57"/>
      <c r="E1213" s="57"/>
      <c r="F1213" s="57"/>
      <c r="G1213" s="57"/>
      <c r="H1213" s="57"/>
      <c r="I1213" s="57"/>
      <c r="J1213" s="57"/>
      <c r="K1213" s="57"/>
      <c r="L1213" s="57"/>
      <c r="M1213" s="57"/>
      <c r="N1213" s="57"/>
      <c r="O1213" s="57"/>
      <c r="P1213" s="60"/>
      <c r="Q1213" s="57"/>
      <c r="R1213" s="57"/>
      <c r="S1213" s="57"/>
      <c r="T1213" s="57"/>
      <c r="U1213" s="57"/>
      <c r="V1213" s="57"/>
      <c r="W1213" s="57"/>
      <c r="X1213" s="57"/>
      <c r="Y1213" s="57"/>
      <c r="Z1213" s="57"/>
      <c r="AA1213" s="57"/>
    </row>
    <row r="1214" spans="1:27">
      <c r="A1214" s="57"/>
      <c r="B1214" s="57"/>
      <c r="C1214" s="60"/>
      <c r="D1214" s="57"/>
      <c r="E1214" s="57"/>
      <c r="F1214" s="57"/>
      <c r="G1214" s="57"/>
      <c r="H1214" s="57"/>
      <c r="I1214" s="57"/>
      <c r="J1214" s="57"/>
      <c r="K1214" s="57"/>
      <c r="L1214" s="57"/>
      <c r="M1214" s="57"/>
      <c r="N1214" s="57"/>
      <c r="O1214" s="57"/>
      <c r="P1214" s="60"/>
      <c r="Q1214" s="57"/>
      <c r="R1214" s="57"/>
      <c r="S1214" s="57"/>
      <c r="T1214" s="57"/>
      <c r="U1214" s="57"/>
      <c r="V1214" s="57"/>
      <c r="W1214" s="57"/>
      <c r="X1214" s="57"/>
      <c r="Y1214" s="57"/>
      <c r="Z1214" s="57"/>
      <c r="AA1214" s="57"/>
    </row>
    <row r="1215" spans="1:27">
      <c r="A1215" s="57"/>
      <c r="B1215" s="57"/>
      <c r="C1215" s="60"/>
      <c r="D1215" s="57"/>
      <c r="E1215" s="57"/>
      <c r="F1215" s="57"/>
      <c r="G1215" s="57"/>
      <c r="H1215" s="57"/>
      <c r="I1215" s="57"/>
      <c r="J1215" s="57"/>
      <c r="K1215" s="57"/>
      <c r="L1215" s="57"/>
      <c r="M1215" s="57"/>
      <c r="N1215" s="57"/>
      <c r="O1215" s="57"/>
      <c r="P1215" s="60"/>
      <c r="Q1215" s="57"/>
      <c r="R1215" s="57"/>
      <c r="S1215" s="57"/>
      <c r="T1215" s="57"/>
      <c r="U1215" s="57"/>
      <c r="V1215" s="57"/>
      <c r="W1215" s="57"/>
      <c r="X1215" s="57"/>
      <c r="Y1215" s="57"/>
      <c r="Z1215" s="57"/>
      <c r="AA1215" s="57"/>
    </row>
    <row r="1216" spans="1:27">
      <c r="A1216" s="57"/>
      <c r="B1216" s="57"/>
      <c r="C1216" s="60"/>
      <c r="D1216" s="57"/>
      <c r="E1216" s="57"/>
      <c r="F1216" s="57"/>
      <c r="G1216" s="57"/>
      <c r="H1216" s="57"/>
      <c r="I1216" s="57"/>
      <c r="J1216" s="57"/>
      <c r="K1216" s="57"/>
      <c r="L1216" s="57"/>
      <c r="M1216" s="57"/>
      <c r="N1216" s="57"/>
      <c r="O1216" s="57"/>
      <c r="P1216" s="60"/>
      <c r="Q1216" s="57"/>
      <c r="R1216" s="57"/>
      <c r="S1216" s="57"/>
      <c r="T1216" s="57"/>
      <c r="U1216" s="57"/>
      <c r="V1216" s="57"/>
      <c r="W1216" s="57"/>
      <c r="X1216" s="57"/>
      <c r="Y1216" s="57"/>
      <c r="Z1216" s="57"/>
      <c r="AA1216" s="57"/>
    </row>
    <row r="1217" spans="1:27">
      <c r="A1217" s="57"/>
      <c r="B1217" s="57"/>
      <c r="C1217" s="60"/>
      <c r="D1217" s="57"/>
      <c r="E1217" s="57"/>
      <c r="F1217" s="57"/>
      <c r="G1217" s="57"/>
      <c r="H1217" s="57"/>
      <c r="I1217" s="57"/>
      <c r="J1217" s="57"/>
      <c r="K1217" s="57"/>
      <c r="L1217" s="57"/>
      <c r="M1217" s="57"/>
      <c r="N1217" s="57"/>
      <c r="O1217" s="57"/>
      <c r="P1217" s="60"/>
      <c r="Q1217" s="57"/>
      <c r="R1217" s="57"/>
      <c r="S1217" s="57"/>
      <c r="T1217" s="57"/>
      <c r="U1217" s="57"/>
      <c r="V1217" s="57"/>
      <c r="W1217" s="57"/>
      <c r="X1217" s="57"/>
      <c r="Y1217" s="57"/>
      <c r="Z1217" s="57"/>
      <c r="AA1217" s="57"/>
    </row>
    <row r="1218" spans="1:27">
      <c r="A1218" s="57"/>
      <c r="B1218" s="57"/>
      <c r="C1218" s="60"/>
      <c r="D1218" s="57"/>
      <c r="E1218" s="57"/>
      <c r="F1218" s="57"/>
      <c r="G1218" s="57"/>
      <c r="H1218" s="57"/>
      <c r="I1218" s="57"/>
      <c r="J1218" s="57"/>
      <c r="K1218" s="57"/>
      <c r="L1218" s="57"/>
      <c r="M1218" s="57"/>
      <c r="N1218" s="57"/>
      <c r="O1218" s="57"/>
      <c r="P1218" s="60"/>
      <c r="Q1218" s="57"/>
      <c r="R1218" s="57"/>
      <c r="S1218" s="57"/>
      <c r="T1218" s="57"/>
      <c r="U1218" s="57"/>
      <c r="V1218" s="57"/>
      <c r="W1218" s="57"/>
      <c r="X1218" s="57"/>
      <c r="Y1218" s="57"/>
      <c r="Z1218" s="57"/>
      <c r="AA1218" s="57"/>
    </row>
    <row r="1219" spans="1:27">
      <c r="A1219" s="57"/>
      <c r="B1219" s="57"/>
      <c r="C1219" s="60"/>
      <c r="D1219" s="57"/>
      <c r="E1219" s="57"/>
      <c r="F1219" s="57"/>
      <c r="G1219" s="57"/>
      <c r="H1219" s="57"/>
      <c r="I1219" s="57"/>
      <c r="J1219" s="57"/>
      <c r="K1219" s="57"/>
      <c r="L1219" s="57"/>
      <c r="M1219" s="57"/>
      <c r="N1219" s="57"/>
      <c r="O1219" s="57"/>
      <c r="P1219" s="60"/>
      <c r="Q1219" s="57"/>
      <c r="R1219" s="57"/>
      <c r="S1219" s="57"/>
      <c r="T1219" s="57"/>
      <c r="U1219" s="57"/>
      <c r="V1219" s="57"/>
      <c r="W1219" s="57"/>
      <c r="X1219" s="57"/>
      <c r="Y1219" s="57"/>
      <c r="Z1219" s="57"/>
      <c r="AA1219" s="57"/>
    </row>
    <row r="1220" spans="1:27">
      <c r="A1220" s="57"/>
      <c r="B1220" s="57"/>
      <c r="C1220" s="60"/>
      <c r="D1220" s="57"/>
      <c r="E1220" s="57"/>
      <c r="F1220" s="57"/>
      <c r="G1220" s="57"/>
      <c r="H1220" s="57"/>
      <c r="I1220" s="57"/>
      <c r="J1220" s="57"/>
      <c r="K1220" s="57"/>
      <c r="L1220" s="57"/>
      <c r="M1220" s="57"/>
      <c r="N1220" s="57"/>
      <c r="O1220" s="57"/>
      <c r="P1220" s="60"/>
      <c r="Q1220" s="57"/>
      <c r="R1220" s="57"/>
      <c r="S1220" s="57"/>
      <c r="T1220" s="57"/>
      <c r="U1220" s="57"/>
      <c r="V1220" s="57"/>
      <c r="W1220" s="57"/>
      <c r="X1220" s="57"/>
      <c r="Y1220" s="57"/>
      <c r="Z1220" s="57"/>
      <c r="AA1220" s="57"/>
    </row>
    <row r="1221" spans="1:27">
      <c r="A1221" s="57"/>
      <c r="B1221" s="57"/>
      <c r="C1221" s="60"/>
      <c r="D1221" s="57"/>
      <c r="E1221" s="57"/>
      <c r="F1221" s="57"/>
      <c r="G1221" s="57"/>
      <c r="H1221" s="57"/>
      <c r="I1221" s="57"/>
      <c r="J1221" s="57"/>
      <c r="K1221" s="57"/>
      <c r="L1221" s="57"/>
      <c r="M1221" s="57"/>
      <c r="N1221" s="57"/>
      <c r="O1221" s="57"/>
      <c r="P1221" s="60"/>
      <c r="Q1221" s="57"/>
      <c r="R1221" s="57"/>
      <c r="S1221" s="57"/>
      <c r="T1221" s="57"/>
      <c r="U1221" s="57"/>
      <c r="V1221" s="57"/>
      <c r="W1221" s="57"/>
      <c r="X1221" s="57"/>
      <c r="Y1221" s="57"/>
      <c r="Z1221" s="57"/>
      <c r="AA1221" s="57"/>
    </row>
    <row r="1222" spans="1:27">
      <c r="A1222" s="57"/>
      <c r="B1222" s="57"/>
      <c r="C1222" s="60"/>
      <c r="D1222" s="57"/>
      <c r="E1222" s="57"/>
      <c r="F1222" s="57"/>
      <c r="G1222" s="57"/>
      <c r="H1222" s="57"/>
      <c r="I1222" s="57"/>
      <c r="J1222" s="57"/>
      <c r="K1222" s="57"/>
      <c r="L1222" s="57"/>
      <c r="M1222" s="57"/>
      <c r="N1222" s="57"/>
      <c r="O1222" s="57"/>
      <c r="P1222" s="60"/>
      <c r="Q1222" s="57"/>
      <c r="R1222" s="57"/>
      <c r="S1222" s="57"/>
      <c r="T1222" s="57"/>
      <c r="U1222" s="57"/>
      <c r="V1222" s="57"/>
      <c r="W1222" s="57"/>
      <c r="X1222" s="57"/>
      <c r="Y1222" s="57"/>
      <c r="Z1222" s="57"/>
      <c r="AA1222" s="57"/>
    </row>
    <row r="1223" spans="1:27">
      <c r="A1223" s="57"/>
      <c r="B1223" s="57"/>
      <c r="C1223" s="60"/>
      <c r="D1223" s="57"/>
      <c r="E1223" s="57"/>
      <c r="F1223" s="57"/>
      <c r="G1223" s="57"/>
      <c r="H1223" s="57"/>
      <c r="I1223" s="57"/>
      <c r="J1223" s="57"/>
      <c r="K1223" s="57"/>
      <c r="L1223" s="57"/>
      <c r="M1223" s="57"/>
      <c r="N1223" s="57"/>
      <c r="O1223" s="57"/>
      <c r="P1223" s="60"/>
      <c r="Q1223" s="57"/>
      <c r="R1223" s="57"/>
      <c r="S1223" s="57"/>
      <c r="T1223" s="57"/>
      <c r="U1223" s="57"/>
      <c r="V1223" s="57"/>
      <c r="W1223" s="57"/>
      <c r="X1223" s="57"/>
      <c r="Y1223" s="57"/>
      <c r="Z1223" s="57"/>
      <c r="AA1223" s="57"/>
    </row>
    <row r="1224" spans="1:27">
      <c r="A1224" s="57"/>
      <c r="B1224" s="57"/>
      <c r="C1224" s="60"/>
      <c r="D1224" s="57"/>
      <c r="E1224" s="57"/>
      <c r="F1224" s="57"/>
      <c r="G1224" s="57"/>
      <c r="H1224" s="57"/>
      <c r="I1224" s="57"/>
      <c r="J1224" s="57"/>
      <c r="K1224" s="57"/>
      <c r="L1224" s="57"/>
      <c r="M1224" s="57"/>
      <c r="N1224" s="57"/>
      <c r="O1224" s="57"/>
      <c r="P1224" s="60"/>
      <c r="Q1224" s="57"/>
      <c r="R1224" s="57"/>
      <c r="S1224" s="57"/>
      <c r="T1224" s="57"/>
      <c r="U1224" s="57"/>
      <c r="V1224" s="57"/>
      <c r="W1224" s="57"/>
      <c r="X1224" s="57"/>
      <c r="Y1224" s="57"/>
      <c r="Z1224" s="57"/>
      <c r="AA1224" s="57"/>
    </row>
    <row r="1225" spans="1:27">
      <c r="A1225" s="57"/>
      <c r="B1225" s="57"/>
      <c r="C1225" s="60"/>
      <c r="D1225" s="57"/>
      <c r="E1225" s="57"/>
      <c r="F1225" s="57"/>
      <c r="G1225" s="57"/>
      <c r="H1225" s="57"/>
      <c r="I1225" s="57"/>
      <c r="J1225" s="57"/>
      <c r="K1225" s="57"/>
      <c r="L1225" s="57"/>
      <c r="M1225" s="57"/>
      <c r="N1225" s="57"/>
      <c r="O1225" s="57"/>
      <c r="P1225" s="60"/>
      <c r="Q1225" s="57"/>
      <c r="R1225" s="57"/>
      <c r="S1225" s="57"/>
      <c r="T1225" s="57"/>
      <c r="U1225" s="57"/>
      <c r="V1225" s="57"/>
      <c r="W1225" s="57"/>
      <c r="X1225" s="57"/>
      <c r="Y1225" s="57"/>
      <c r="Z1225" s="57"/>
      <c r="AA1225" s="57"/>
    </row>
    <row r="1226" spans="1:27">
      <c r="A1226" s="57"/>
      <c r="B1226" s="57"/>
      <c r="C1226" s="60"/>
      <c r="D1226" s="57"/>
      <c r="E1226" s="57"/>
      <c r="F1226" s="57"/>
      <c r="G1226" s="57"/>
      <c r="H1226" s="57"/>
      <c r="I1226" s="57"/>
      <c r="J1226" s="57"/>
      <c r="K1226" s="57"/>
      <c r="L1226" s="57"/>
      <c r="M1226" s="57"/>
      <c r="N1226" s="57"/>
      <c r="O1226" s="57"/>
      <c r="P1226" s="60"/>
      <c r="Q1226" s="57"/>
      <c r="R1226" s="57"/>
      <c r="S1226" s="57"/>
      <c r="T1226" s="57"/>
      <c r="U1226" s="57"/>
      <c r="V1226" s="57"/>
      <c r="W1226" s="57"/>
      <c r="X1226" s="57"/>
      <c r="Y1226" s="57"/>
      <c r="Z1226" s="57"/>
      <c r="AA1226" s="57"/>
    </row>
    <row r="1227" spans="1:27">
      <c r="A1227" s="57"/>
      <c r="B1227" s="57"/>
      <c r="C1227" s="60"/>
      <c r="D1227" s="57"/>
      <c r="E1227" s="57"/>
      <c r="F1227" s="57"/>
      <c r="G1227" s="57"/>
      <c r="H1227" s="57"/>
      <c r="I1227" s="57"/>
      <c r="J1227" s="57"/>
      <c r="K1227" s="57"/>
      <c r="L1227" s="57"/>
      <c r="M1227" s="57"/>
      <c r="N1227" s="57"/>
      <c r="O1227" s="57"/>
      <c r="P1227" s="60"/>
      <c r="Q1227" s="57"/>
      <c r="R1227" s="57"/>
      <c r="S1227" s="57"/>
      <c r="T1227" s="57"/>
      <c r="U1227" s="57"/>
      <c r="V1227" s="57"/>
      <c r="W1227" s="57"/>
      <c r="X1227" s="57"/>
      <c r="Y1227" s="57"/>
      <c r="Z1227" s="57"/>
      <c r="AA1227" s="57"/>
    </row>
    <row r="1228" spans="1:27">
      <c r="A1228" s="57"/>
      <c r="B1228" s="57"/>
      <c r="C1228" s="60"/>
      <c r="D1228" s="57"/>
      <c r="E1228" s="57"/>
      <c r="F1228" s="57"/>
      <c r="G1228" s="57"/>
      <c r="H1228" s="57"/>
      <c r="I1228" s="57"/>
      <c r="J1228" s="57"/>
      <c r="K1228" s="57"/>
      <c r="L1228" s="57"/>
      <c r="M1228" s="57"/>
      <c r="N1228" s="57"/>
      <c r="O1228" s="57"/>
      <c r="P1228" s="60"/>
      <c r="Q1228" s="57"/>
      <c r="R1228" s="57"/>
      <c r="S1228" s="57"/>
      <c r="T1228" s="57"/>
      <c r="U1228" s="57"/>
      <c r="V1228" s="57"/>
      <c r="W1228" s="57"/>
      <c r="X1228" s="57"/>
      <c r="Y1228" s="57"/>
      <c r="Z1228" s="57"/>
      <c r="AA1228" s="57"/>
    </row>
    <row r="1229" spans="1:27">
      <c r="A1229" s="57"/>
      <c r="B1229" s="57"/>
      <c r="C1229" s="60"/>
      <c r="D1229" s="57"/>
      <c r="E1229" s="57"/>
      <c r="F1229" s="57"/>
      <c r="G1229" s="57"/>
      <c r="H1229" s="57"/>
      <c r="I1229" s="57"/>
      <c r="J1229" s="57"/>
      <c r="K1229" s="57"/>
      <c r="L1229" s="57"/>
      <c r="M1229" s="57"/>
      <c r="N1229" s="57"/>
      <c r="O1229" s="57"/>
      <c r="P1229" s="60"/>
      <c r="Q1229" s="57"/>
      <c r="R1229" s="57"/>
      <c r="S1229" s="57"/>
      <c r="T1229" s="57"/>
      <c r="U1229" s="57"/>
      <c r="V1229" s="57"/>
      <c r="W1229" s="57"/>
      <c r="X1229" s="57"/>
      <c r="Y1229" s="57"/>
      <c r="Z1229" s="57"/>
      <c r="AA1229" s="57"/>
    </row>
    <row r="1230" spans="1:27">
      <c r="A1230" s="57"/>
      <c r="B1230" s="57"/>
      <c r="C1230" s="60"/>
      <c r="D1230" s="57"/>
      <c r="E1230" s="57"/>
      <c r="F1230" s="57"/>
      <c r="G1230" s="57"/>
      <c r="H1230" s="57"/>
      <c r="I1230" s="57"/>
      <c r="J1230" s="57"/>
      <c r="K1230" s="57"/>
      <c r="L1230" s="57"/>
      <c r="M1230" s="57"/>
      <c r="N1230" s="57"/>
      <c r="O1230" s="57"/>
      <c r="P1230" s="60"/>
      <c r="Q1230" s="57"/>
      <c r="R1230" s="57"/>
      <c r="S1230" s="57"/>
      <c r="T1230" s="57"/>
      <c r="U1230" s="57"/>
      <c r="V1230" s="57"/>
      <c r="W1230" s="57"/>
      <c r="X1230" s="57"/>
      <c r="Y1230" s="57"/>
      <c r="Z1230" s="57"/>
      <c r="AA1230" s="57"/>
    </row>
    <row r="1231" spans="1:27">
      <c r="A1231" s="57"/>
      <c r="B1231" s="57"/>
      <c r="C1231" s="60"/>
      <c r="D1231" s="57"/>
      <c r="E1231" s="57"/>
      <c r="F1231" s="57"/>
      <c r="G1231" s="57"/>
      <c r="H1231" s="57"/>
      <c r="I1231" s="57"/>
      <c r="J1231" s="57"/>
      <c r="K1231" s="57"/>
      <c r="L1231" s="57"/>
      <c r="M1231" s="57"/>
      <c r="N1231" s="57"/>
      <c r="O1231" s="57"/>
      <c r="P1231" s="60"/>
      <c r="Q1231" s="57"/>
      <c r="R1231" s="57"/>
      <c r="S1231" s="57"/>
      <c r="T1231" s="57"/>
      <c r="U1231" s="57"/>
      <c r="V1231" s="57"/>
      <c r="W1231" s="57"/>
      <c r="X1231" s="57"/>
      <c r="Y1231" s="57"/>
      <c r="Z1231" s="57"/>
      <c r="AA1231" s="57"/>
    </row>
    <row r="1232" spans="1:27">
      <c r="A1232" s="57"/>
      <c r="B1232" s="57"/>
      <c r="C1232" s="60"/>
      <c r="D1232" s="57"/>
      <c r="E1232" s="57"/>
      <c r="F1232" s="57"/>
      <c r="G1232" s="57"/>
      <c r="H1232" s="57"/>
      <c r="I1232" s="57"/>
      <c r="J1232" s="57"/>
      <c r="K1232" s="57"/>
      <c r="L1232" s="57"/>
      <c r="M1232" s="57"/>
      <c r="N1232" s="57"/>
      <c r="O1232" s="57"/>
      <c r="P1232" s="60"/>
      <c r="Q1232" s="57"/>
      <c r="R1232" s="57"/>
      <c r="S1232" s="57"/>
      <c r="T1232" s="57"/>
      <c r="U1232" s="57"/>
      <c r="V1232" s="57"/>
      <c r="W1232" s="57"/>
      <c r="X1232" s="57"/>
      <c r="Y1232" s="57"/>
      <c r="Z1232" s="57"/>
      <c r="AA1232" s="57"/>
    </row>
    <row r="1233" spans="1:27">
      <c r="A1233" s="57"/>
      <c r="B1233" s="57"/>
      <c r="C1233" s="60"/>
      <c r="D1233" s="57"/>
      <c r="E1233" s="57"/>
      <c r="F1233" s="57"/>
      <c r="G1233" s="57"/>
      <c r="H1233" s="57"/>
      <c r="I1233" s="57"/>
      <c r="J1233" s="57"/>
      <c r="K1233" s="57"/>
      <c r="L1233" s="57"/>
      <c r="M1233" s="57"/>
      <c r="N1233" s="57"/>
      <c r="O1233" s="57"/>
      <c r="P1233" s="60"/>
      <c r="Q1233" s="57"/>
      <c r="R1233" s="57"/>
      <c r="S1233" s="57"/>
      <c r="T1233" s="57"/>
      <c r="U1233" s="57"/>
      <c r="V1233" s="57"/>
      <c r="W1233" s="57"/>
      <c r="X1233" s="57"/>
      <c r="Y1233" s="57"/>
      <c r="Z1233" s="57"/>
      <c r="AA1233" s="57"/>
    </row>
    <row r="1234" spans="1:27">
      <c r="A1234" s="57"/>
      <c r="B1234" s="57"/>
      <c r="C1234" s="60"/>
      <c r="D1234" s="57"/>
      <c r="E1234" s="57"/>
      <c r="F1234" s="57"/>
      <c r="G1234" s="57"/>
      <c r="H1234" s="57"/>
      <c r="I1234" s="57"/>
      <c r="J1234" s="57"/>
      <c r="K1234" s="57"/>
      <c r="L1234" s="57"/>
      <c r="M1234" s="57"/>
      <c r="N1234" s="57"/>
      <c r="O1234" s="57"/>
      <c r="P1234" s="60"/>
      <c r="Q1234" s="57"/>
      <c r="R1234" s="57"/>
      <c r="S1234" s="57"/>
      <c r="T1234" s="57"/>
      <c r="U1234" s="57"/>
      <c r="V1234" s="57"/>
      <c r="W1234" s="57"/>
      <c r="X1234" s="57"/>
      <c r="Y1234" s="57"/>
      <c r="Z1234" s="57"/>
      <c r="AA1234" s="57"/>
    </row>
    <row r="1235" spans="1:27">
      <c r="A1235" s="57"/>
      <c r="B1235" s="57"/>
      <c r="C1235" s="60"/>
      <c r="D1235" s="57"/>
      <c r="E1235" s="57"/>
      <c r="F1235" s="57"/>
      <c r="G1235" s="57"/>
      <c r="H1235" s="57"/>
      <c r="I1235" s="57"/>
      <c r="J1235" s="57"/>
      <c r="K1235" s="57"/>
      <c r="L1235" s="57"/>
      <c r="M1235" s="57"/>
      <c r="N1235" s="57"/>
      <c r="O1235" s="57"/>
      <c r="P1235" s="60"/>
      <c r="Q1235" s="57"/>
      <c r="R1235" s="57"/>
      <c r="S1235" s="57"/>
      <c r="T1235" s="57"/>
      <c r="U1235" s="57"/>
      <c r="V1235" s="57"/>
      <c r="W1235" s="57"/>
      <c r="X1235" s="57"/>
      <c r="Y1235" s="57"/>
      <c r="Z1235" s="57"/>
      <c r="AA1235" s="57"/>
    </row>
    <row r="1236" spans="1:27">
      <c r="A1236" s="57"/>
      <c r="B1236" s="57"/>
      <c r="C1236" s="60"/>
      <c r="D1236" s="57"/>
      <c r="E1236" s="57"/>
      <c r="F1236" s="57"/>
      <c r="G1236" s="57"/>
      <c r="H1236" s="57"/>
      <c r="I1236" s="57"/>
      <c r="J1236" s="57"/>
      <c r="K1236" s="57"/>
      <c r="L1236" s="57"/>
      <c r="M1236" s="57"/>
      <c r="N1236" s="57"/>
      <c r="O1236" s="57"/>
      <c r="P1236" s="60"/>
      <c r="Q1236" s="57"/>
      <c r="R1236" s="57"/>
      <c r="S1236" s="57"/>
      <c r="T1236" s="57"/>
      <c r="U1236" s="57"/>
      <c r="V1236" s="57"/>
      <c r="W1236" s="57"/>
      <c r="X1236" s="57"/>
      <c r="Y1236" s="57"/>
      <c r="Z1236" s="57"/>
      <c r="AA1236" s="57"/>
    </row>
    <row r="1237" spans="1:27">
      <c r="A1237" s="57"/>
      <c r="B1237" s="57"/>
      <c r="C1237" s="60"/>
      <c r="D1237" s="57"/>
      <c r="E1237" s="57"/>
      <c r="F1237" s="57"/>
      <c r="G1237" s="57"/>
      <c r="H1237" s="57"/>
      <c r="I1237" s="57"/>
      <c r="J1237" s="57"/>
      <c r="K1237" s="57"/>
      <c r="L1237" s="57"/>
      <c r="M1237" s="57"/>
      <c r="N1237" s="57"/>
      <c r="O1237" s="57"/>
      <c r="P1237" s="60"/>
      <c r="Q1237" s="57"/>
      <c r="R1237" s="57"/>
      <c r="S1237" s="57"/>
      <c r="T1237" s="57"/>
      <c r="U1237" s="57"/>
      <c r="V1237" s="57"/>
      <c r="W1237" s="57"/>
      <c r="X1237" s="57"/>
      <c r="Y1237" s="57"/>
      <c r="Z1237" s="57"/>
      <c r="AA1237" s="57"/>
    </row>
    <row r="1238" spans="1:27">
      <c r="A1238" s="57"/>
      <c r="B1238" s="57"/>
      <c r="C1238" s="60"/>
      <c r="D1238" s="57"/>
      <c r="E1238" s="57"/>
      <c r="F1238" s="57"/>
      <c r="G1238" s="57"/>
      <c r="H1238" s="57"/>
      <c r="I1238" s="57"/>
      <c r="J1238" s="57"/>
      <c r="K1238" s="57"/>
      <c r="L1238" s="57"/>
      <c r="M1238" s="57"/>
      <c r="N1238" s="57"/>
      <c r="O1238" s="57"/>
      <c r="P1238" s="60"/>
      <c r="Q1238" s="57"/>
      <c r="R1238" s="57"/>
      <c r="S1238" s="57"/>
      <c r="T1238" s="57"/>
      <c r="U1238" s="57"/>
      <c r="V1238" s="57"/>
      <c r="W1238" s="57"/>
      <c r="X1238" s="57"/>
      <c r="Y1238" s="57"/>
      <c r="Z1238" s="57"/>
      <c r="AA1238" s="57"/>
    </row>
    <row r="1239" spans="1:27">
      <c r="A1239" s="57"/>
      <c r="B1239" s="57"/>
      <c r="C1239" s="60"/>
      <c r="D1239" s="57"/>
      <c r="E1239" s="57"/>
      <c r="F1239" s="57"/>
      <c r="G1239" s="57"/>
      <c r="H1239" s="57"/>
      <c r="I1239" s="57"/>
      <c r="J1239" s="57"/>
      <c r="K1239" s="57"/>
      <c r="L1239" s="57"/>
      <c r="M1239" s="57"/>
      <c r="N1239" s="57"/>
      <c r="O1239" s="57"/>
      <c r="P1239" s="60"/>
      <c r="Q1239" s="57"/>
      <c r="R1239" s="57"/>
      <c r="S1239" s="57"/>
      <c r="T1239" s="57"/>
      <c r="U1239" s="57"/>
      <c r="V1239" s="57"/>
      <c r="W1239" s="57"/>
      <c r="X1239" s="57"/>
      <c r="Y1239" s="57"/>
      <c r="Z1239" s="57"/>
      <c r="AA1239" s="57"/>
    </row>
    <row r="1240" spans="1:27">
      <c r="A1240" s="57"/>
      <c r="B1240" s="57"/>
      <c r="C1240" s="60"/>
      <c r="D1240" s="57"/>
      <c r="E1240" s="57"/>
      <c r="F1240" s="57"/>
      <c r="G1240" s="57"/>
      <c r="H1240" s="57"/>
      <c r="I1240" s="57"/>
      <c r="J1240" s="57"/>
      <c r="K1240" s="57"/>
      <c r="L1240" s="57"/>
      <c r="M1240" s="57"/>
      <c r="N1240" s="57"/>
      <c r="O1240" s="57"/>
      <c r="P1240" s="60"/>
      <c r="Q1240" s="57"/>
      <c r="R1240" s="57"/>
      <c r="S1240" s="57"/>
      <c r="T1240" s="57"/>
      <c r="U1240" s="57"/>
      <c r="V1240" s="57"/>
      <c r="W1240" s="57"/>
      <c r="X1240" s="57"/>
      <c r="Y1240" s="57"/>
      <c r="Z1240" s="57"/>
      <c r="AA1240" s="57"/>
    </row>
    <row r="1241" spans="1:27">
      <c r="A1241" s="57"/>
      <c r="B1241" s="57"/>
      <c r="C1241" s="60"/>
      <c r="D1241" s="57"/>
      <c r="E1241" s="57"/>
      <c r="F1241" s="57"/>
      <c r="G1241" s="57"/>
      <c r="H1241" s="57"/>
      <c r="I1241" s="57"/>
      <c r="J1241" s="57"/>
      <c r="K1241" s="57"/>
      <c r="L1241" s="57"/>
      <c r="M1241" s="57"/>
      <c r="N1241" s="57"/>
      <c r="O1241" s="57"/>
      <c r="P1241" s="60"/>
      <c r="Q1241" s="57"/>
      <c r="R1241" s="57"/>
      <c r="S1241" s="57"/>
      <c r="T1241" s="57"/>
      <c r="U1241" s="57"/>
      <c r="V1241" s="57"/>
      <c r="W1241" s="57"/>
      <c r="X1241" s="57"/>
      <c r="Y1241" s="57"/>
      <c r="Z1241" s="57"/>
      <c r="AA1241" s="57"/>
    </row>
    <row r="1242" spans="1:27">
      <c r="A1242" s="57"/>
      <c r="B1242" s="57"/>
      <c r="C1242" s="60"/>
      <c r="D1242" s="57"/>
      <c r="E1242" s="57"/>
      <c r="F1242" s="57"/>
      <c r="G1242" s="57"/>
      <c r="H1242" s="57"/>
      <c r="I1242" s="57"/>
      <c r="J1242" s="57"/>
      <c r="K1242" s="57"/>
      <c r="L1242" s="57"/>
      <c r="M1242" s="57"/>
      <c r="N1242" s="57"/>
      <c r="O1242" s="57"/>
      <c r="P1242" s="60"/>
      <c r="Q1242" s="57"/>
      <c r="R1242" s="57"/>
      <c r="S1242" s="57"/>
      <c r="T1242" s="57"/>
      <c r="U1242" s="57"/>
      <c r="V1242" s="57"/>
      <c r="W1242" s="57"/>
      <c r="X1242" s="57"/>
      <c r="Y1242" s="57"/>
      <c r="Z1242" s="57"/>
      <c r="AA1242" s="57"/>
    </row>
    <row r="1243" spans="1:27">
      <c r="A1243" s="57"/>
      <c r="B1243" s="57"/>
      <c r="C1243" s="60"/>
      <c r="D1243" s="57"/>
      <c r="E1243" s="57"/>
      <c r="F1243" s="57"/>
      <c r="G1243" s="57"/>
      <c r="H1243" s="57"/>
      <c r="I1243" s="57"/>
      <c r="J1243" s="57"/>
      <c r="K1243" s="57"/>
      <c r="L1243" s="57"/>
      <c r="M1243" s="57"/>
      <c r="N1243" s="57"/>
      <c r="O1243" s="57"/>
      <c r="P1243" s="60"/>
      <c r="Q1243" s="57"/>
      <c r="R1243" s="57"/>
      <c r="S1243" s="57"/>
      <c r="T1243" s="57"/>
      <c r="U1243" s="57"/>
      <c r="V1243" s="57"/>
      <c r="W1243" s="57"/>
      <c r="X1243" s="57"/>
      <c r="Y1243" s="57"/>
      <c r="Z1243" s="57"/>
      <c r="AA1243" s="57"/>
    </row>
    <row r="1244" spans="1:27">
      <c r="A1244" s="57"/>
      <c r="B1244" s="57"/>
      <c r="C1244" s="60"/>
      <c r="D1244" s="57"/>
      <c r="E1244" s="57"/>
      <c r="F1244" s="57"/>
      <c r="G1244" s="57"/>
      <c r="H1244" s="57"/>
      <c r="I1244" s="57"/>
      <c r="J1244" s="57"/>
      <c r="K1244" s="57"/>
      <c r="L1244" s="57"/>
      <c r="M1244" s="57"/>
      <c r="N1244" s="57"/>
      <c r="O1244" s="57"/>
      <c r="P1244" s="60"/>
      <c r="Q1244" s="57"/>
      <c r="R1244" s="57"/>
      <c r="S1244" s="57"/>
      <c r="T1244" s="57"/>
      <c r="U1244" s="57"/>
      <c r="V1244" s="57"/>
      <c r="W1244" s="57"/>
      <c r="X1244" s="57"/>
      <c r="Y1244" s="57"/>
      <c r="Z1244" s="57"/>
      <c r="AA1244" s="57"/>
    </row>
    <row r="1245" spans="1:27">
      <c r="A1245" s="57"/>
      <c r="B1245" s="57"/>
      <c r="C1245" s="60"/>
      <c r="D1245" s="57"/>
      <c r="E1245" s="57"/>
      <c r="F1245" s="57"/>
      <c r="G1245" s="57"/>
      <c r="H1245" s="57"/>
      <c r="I1245" s="57"/>
      <c r="J1245" s="57"/>
      <c r="K1245" s="57"/>
      <c r="L1245" s="57"/>
      <c r="M1245" s="57"/>
      <c r="N1245" s="57"/>
      <c r="O1245" s="57"/>
      <c r="P1245" s="60"/>
      <c r="Q1245" s="57"/>
      <c r="R1245" s="57"/>
      <c r="S1245" s="57"/>
      <c r="T1245" s="57"/>
      <c r="U1245" s="57"/>
      <c r="V1245" s="57"/>
      <c r="W1245" s="57"/>
      <c r="X1245" s="57"/>
      <c r="Y1245" s="57"/>
      <c r="Z1245" s="57"/>
      <c r="AA1245" s="57"/>
    </row>
    <row r="1246" spans="1:27">
      <c r="A1246" s="57"/>
      <c r="B1246" s="57"/>
      <c r="C1246" s="60"/>
      <c r="D1246" s="57"/>
      <c r="E1246" s="57"/>
      <c r="F1246" s="57"/>
      <c r="G1246" s="57"/>
      <c r="H1246" s="57"/>
      <c r="I1246" s="57"/>
      <c r="J1246" s="57"/>
      <c r="K1246" s="57"/>
      <c r="L1246" s="57"/>
      <c r="M1246" s="57"/>
      <c r="N1246" s="57"/>
      <c r="O1246" s="57"/>
      <c r="P1246" s="60"/>
      <c r="Q1246" s="57"/>
      <c r="R1246" s="57"/>
      <c r="S1246" s="57"/>
      <c r="T1246" s="57"/>
      <c r="U1246" s="57"/>
      <c r="V1246" s="57"/>
      <c r="W1246" s="57"/>
      <c r="X1246" s="57"/>
      <c r="Y1246" s="57"/>
      <c r="Z1246" s="57"/>
      <c r="AA1246" s="57"/>
    </row>
    <row r="1247" spans="1:27">
      <c r="A1247" s="57"/>
      <c r="B1247" s="57"/>
      <c r="C1247" s="60"/>
      <c r="D1247" s="57"/>
      <c r="E1247" s="57"/>
      <c r="F1247" s="57"/>
      <c r="G1247" s="57"/>
      <c r="H1247" s="57"/>
      <c r="I1247" s="57"/>
      <c r="J1247" s="57"/>
      <c r="K1247" s="57"/>
      <c r="L1247" s="57"/>
      <c r="M1247" s="57"/>
      <c r="N1247" s="57"/>
      <c r="O1247" s="57"/>
      <c r="P1247" s="60"/>
      <c r="Q1247" s="57"/>
      <c r="R1247" s="57"/>
      <c r="S1247" s="57"/>
      <c r="T1247" s="57"/>
      <c r="U1247" s="57"/>
      <c r="V1247" s="57"/>
      <c r="W1247" s="57"/>
      <c r="X1247" s="57"/>
      <c r="Y1247" s="57"/>
      <c r="Z1247" s="57"/>
      <c r="AA1247" s="57"/>
    </row>
    <row r="1248" spans="1:27">
      <c r="A1248" s="57"/>
      <c r="B1248" s="57"/>
      <c r="C1248" s="60"/>
      <c r="D1248" s="57"/>
      <c r="E1248" s="57"/>
      <c r="F1248" s="57"/>
      <c r="G1248" s="57"/>
      <c r="H1248" s="57"/>
      <c r="I1248" s="57"/>
      <c r="J1248" s="57"/>
      <c r="K1248" s="57"/>
      <c r="L1248" s="57"/>
      <c r="M1248" s="57"/>
      <c r="N1248" s="57"/>
      <c r="O1248" s="57"/>
      <c r="P1248" s="60"/>
      <c r="Q1248" s="57"/>
      <c r="R1248" s="57"/>
      <c r="S1248" s="57"/>
      <c r="T1248" s="57"/>
      <c r="U1248" s="57"/>
      <c r="V1248" s="57"/>
      <c r="W1248" s="57"/>
      <c r="X1248" s="57"/>
      <c r="Y1248" s="57"/>
      <c r="Z1248" s="57"/>
      <c r="AA1248" s="57"/>
    </row>
    <row r="1249" spans="1:27">
      <c r="A1249" s="57"/>
      <c r="B1249" s="57"/>
      <c r="C1249" s="60"/>
      <c r="D1249" s="57"/>
      <c r="E1249" s="57"/>
      <c r="F1249" s="57"/>
      <c r="G1249" s="57"/>
      <c r="H1249" s="57"/>
      <c r="I1249" s="57"/>
      <c r="J1249" s="57"/>
      <c r="K1249" s="57"/>
      <c r="L1249" s="57"/>
      <c r="M1249" s="57"/>
      <c r="N1249" s="57"/>
      <c r="O1249" s="57"/>
      <c r="P1249" s="60"/>
      <c r="Q1249" s="57"/>
      <c r="R1249" s="57"/>
      <c r="S1249" s="57"/>
      <c r="T1249" s="57"/>
      <c r="U1249" s="57"/>
      <c r="V1249" s="57"/>
      <c r="W1249" s="57"/>
      <c r="X1249" s="57"/>
      <c r="Y1249" s="57"/>
      <c r="Z1249" s="57"/>
      <c r="AA1249" s="57"/>
    </row>
    <row r="1250" spans="1:27">
      <c r="A1250" s="57"/>
      <c r="B1250" s="57"/>
      <c r="C1250" s="60"/>
      <c r="D1250" s="57"/>
      <c r="E1250" s="57"/>
      <c r="F1250" s="57"/>
      <c r="G1250" s="57"/>
      <c r="H1250" s="57"/>
      <c r="I1250" s="57"/>
      <c r="J1250" s="57"/>
      <c r="K1250" s="57"/>
      <c r="L1250" s="57"/>
      <c r="M1250" s="57"/>
      <c r="N1250" s="57"/>
      <c r="O1250" s="57"/>
      <c r="P1250" s="60"/>
      <c r="Q1250" s="57"/>
      <c r="R1250" s="57"/>
      <c r="S1250" s="57"/>
      <c r="T1250" s="57"/>
      <c r="U1250" s="57"/>
      <c r="V1250" s="57"/>
      <c r="W1250" s="57"/>
      <c r="X1250" s="57"/>
      <c r="Y1250" s="57"/>
      <c r="Z1250" s="57"/>
      <c r="AA1250" s="57"/>
    </row>
    <row r="1251" spans="1:27">
      <c r="A1251" s="57"/>
      <c r="B1251" s="57"/>
      <c r="C1251" s="60"/>
      <c r="D1251" s="57"/>
      <c r="E1251" s="57"/>
      <c r="F1251" s="57"/>
      <c r="G1251" s="57"/>
      <c r="H1251" s="57"/>
      <c r="I1251" s="57"/>
      <c r="J1251" s="57"/>
      <c r="K1251" s="57"/>
      <c r="L1251" s="57"/>
      <c r="M1251" s="57"/>
      <c r="N1251" s="57"/>
      <c r="O1251" s="57"/>
      <c r="P1251" s="60"/>
      <c r="Q1251" s="57"/>
      <c r="R1251" s="57"/>
      <c r="S1251" s="57"/>
      <c r="T1251" s="57"/>
      <c r="U1251" s="57"/>
      <c r="V1251" s="57"/>
      <c r="W1251" s="57"/>
      <c r="X1251" s="57"/>
      <c r="Y1251" s="57"/>
      <c r="Z1251" s="57"/>
      <c r="AA1251" s="57"/>
    </row>
    <row r="1252" spans="1:27">
      <c r="A1252" s="57"/>
      <c r="B1252" s="57"/>
      <c r="C1252" s="60"/>
      <c r="D1252" s="57"/>
      <c r="E1252" s="57"/>
      <c r="F1252" s="57"/>
      <c r="G1252" s="57"/>
      <c r="H1252" s="57"/>
      <c r="I1252" s="57"/>
      <c r="J1252" s="57"/>
      <c r="K1252" s="57"/>
      <c r="L1252" s="57"/>
      <c r="M1252" s="57"/>
      <c r="N1252" s="57"/>
      <c r="O1252" s="57"/>
      <c r="P1252" s="60"/>
      <c r="Q1252" s="57"/>
      <c r="R1252" s="57"/>
      <c r="S1252" s="57"/>
      <c r="T1252" s="57"/>
      <c r="U1252" s="57"/>
      <c r="V1252" s="57"/>
      <c r="W1252" s="57"/>
      <c r="X1252" s="57"/>
      <c r="Y1252" s="57"/>
      <c r="Z1252" s="57"/>
      <c r="AA1252" s="57"/>
    </row>
    <row r="1253" spans="1:27">
      <c r="A1253" s="57"/>
      <c r="B1253" s="57"/>
      <c r="C1253" s="60"/>
      <c r="D1253" s="57"/>
      <c r="E1253" s="57"/>
      <c r="F1253" s="57"/>
      <c r="G1253" s="57"/>
      <c r="H1253" s="57"/>
      <c r="I1253" s="57"/>
      <c r="J1253" s="57"/>
      <c r="K1253" s="57"/>
      <c r="L1253" s="57"/>
      <c r="M1253" s="57"/>
      <c r="N1253" s="57"/>
      <c r="O1253" s="57"/>
      <c r="P1253" s="60"/>
      <c r="Q1253" s="57"/>
      <c r="R1253" s="57"/>
      <c r="S1253" s="57"/>
      <c r="T1253" s="57"/>
      <c r="U1253" s="57"/>
      <c r="V1253" s="57"/>
      <c r="W1253" s="57"/>
      <c r="X1253" s="57"/>
      <c r="Y1253" s="57"/>
      <c r="Z1253" s="57"/>
      <c r="AA1253" s="57"/>
    </row>
    <row r="1254" spans="1:27">
      <c r="A1254" s="57"/>
      <c r="B1254" s="57"/>
      <c r="C1254" s="60"/>
      <c r="D1254" s="57"/>
      <c r="E1254" s="57"/>
      <c r="F1254" s="57"/>
      <c r="G1254" s="57"/>
      <c r="H1254" s="57"/>
      <c r="I1254" s="57"/>
      <c r="J1254" s="57"/>
      <c r="K1254" s="57"/>
      <c r="L1254" s="57"/>
      <c r="M1254" s="57"/>
      <c r="N1254" s="57"/>
      <c r="O1254" s="57"/>
      <c r="P1254" s="60"/>
      <c r="Q1254" s="57"/>
      <c r="R1254" s="57"/>
      <c r="S1254" s="57"/>
      <c r="T1254" s="57"/>
      <c r="U1254" s="57"/>
      <c r="V1254" s="57"/>
      <c r="W1254" s="57"/>
      <c r="X1254" s="57"/>
      <c r="Y1254" s="57"/>
      <c r="Z1254" s="57"/>
      <c r="AA1254" s="57"/>
    </row>
    <row r="1255" spans="1:27">
      <c r="A1255" s="57"/>
      <c r="B1255" s="57"/>
      <c r="C1255" s="60"/>
      <c r="D1255" s="57"/>
      <c r="E1255" s="57"/>
      <c r="F1255" s="57"/>
      <c r="G1255" s="57"/>
      <c r="H1255" s="57"/>
      <c r="I1255" s="57"/>
      <c r="J1255" s="57"/>
      <c r="K1255" s="57"/>
      <c r="L1255" s="57"/>
      <c r="M1255" s="57"/>
      <c r="N1255" s="57"/>
      <c r="O1255" s="57"/>
      <c r="P1255" s="60"/>
      <c r="Q1255" s="57"/>
      <c r="R1255" s="57"/>
      <c r="S1255" s="57"/>
      <c r="T1255" s="57"/>
      <c r="U1255" s="57"/>
      <c r="V1255" s="57"/>
      <c r="W1255" s="57"/>
      <c r="X1255" s="57"/>
      <c r="Y1255" s="57"/>
      <c r="Z1255" s="57"/>
      <c r="AA1255" s="57"/>
    </row>
    <row r="1256" spans="1:27">
      <c r="A1256" s="57"/>
      <c r="B1256" s="57"/>
      <c r="C1256" s="60"/>
      <c r="D1256" s="57"/>
      <c r="E1256" s="57"/>
      <c r="F1256" s="57"/>
      <c r="G1256" s="57"/>
      <c r="H1256" s="57"/>
      <c r="I1256" s="57"/>
      <c r="J1256" s="57"/>
      <c r="K1256" s="57"/>
      <c r="L1256" s="57"/>
      <c r="M1256" s="57"/>
      <c r="N1256" s="57"/>
      <c r="O1256" s="57"/>
      <c r="P1256" s="60"/>
      <c r="Q1256" s="57"/>
      <c r="R1256" s="57"/>
      <c r="S1256" s="57"/>
      <c r="T1256" s="57"/>
      <c r="U1256" s="57"/>
      <c r="V1256" s="57"/>
      <c r="W1256" s="57"/>
      <c r="X1256" s="57"/>
      <c r="Y1256" s="57"/>
      <c r="Z1256" s="57"/>
      <c r="AA1256" s="57"/>
    </row>
    <row r="1257" spans="1:27">
      <c r="A1257" s="57"/>
      <c r="B1257" s="57"/>
      <c r="C1257" s="60"/>
      <c r="D1257" s="57"/>
      <c r="E1257" s="57"/>
      <c r="F1257" s="57"/>
      <c r="G1257" s="57"/>
      <c r="H1257" s="57"/>
      <c r="I1257" s="57"/>
      <c r="J1257" s="57"/>
      <c r="K1257" s="57"/>
      <c r="L1257" s="57"/>
      <c r="M1257" s="57"/>
      <c r="N1257" s="57"/>
      <c r="O1257" s="57"/>
      <c r="P1257" s="60"/>
      <c r="Q1257" s="57"/>
      <c r="R1257" s="57"/>
      <c r="S1257" s="57"/>
      <c r="T1257" s="57"/>
      <c r="U1257" s="57"/>
      <c r="V1257" s="57"/>
      <c r="W1257" s="57"/>
      <c r="X1257" s="57"/>
      <c r="Y1257" s="57"/>
      <c r="Z1257" s="57"/>
      <c r="AA1257" s="57"/>
    </row>
    <row r="1258" spans="1:27">
      <c r="A1258" s="57"/>
      <c r="B1258" s="57"/>
      <c r="C1258" s="60"/>
      <c r="D1258" s="57"/>
      <c r="E1258" s="57"/>
      <c r="F1258" s="57"/>
      <c r="G1258" s="57"/>
      <c r="H1258" s="57"/>
      <c r="I1258" s="57"/>
      <c r="J1258" s="57"/>
      <c r="K1258" s="57"/>
      <c r="L1258" s="57"/>
      <c r="M1258" s="57"/>
      <c r="N1258" s="57"/>
      <c r="O1258" s="57"/>
      <c r="P1258" s="60"/>
      <c r="Q1258" s="57"/>
      <c r="R1258" s="57"/>
      <c r="S1258" s="57"/>
      <c r="T1258" s="57"/>
      <c r="U1258" s="57"/>
      <c r="V1258" s="57"/>
      <c r="W1258" s="57"/>
      <c r="X1258" s="57"/>
      <c r="Y1258" s="57"/>
      <c r="Z1258" s="57"/>
      <c r="AA1258" s="57"/>
    </row>
    <row r="1259" spans="1:27">
      <c r="A1259" s="57"/>
      <c r="B1259" s="57"/>
      <c r="C1259" s="60"/>
      <c r="D1259" s="57"/>
      <c r="E1259" s="57"/>
      <c r="F1259" s="57"/>
      <c r="G1259" s="57"/>
      <c r="H1259" s="57"/>
      <c r="I1259" s="57"/>
      <c r="J1259" s="57"/>
      <c r="K1259" s="57"/>
      <c r="L1259" s="57"/>
      <c r="M1259" s="57"/>
      <c r="N1259" s="57"/>
      <c r="O1259" s="57"/>
      <c r="P1259" s="60"/>
      <c r="Q1259" s="57"/>
      <c r="R1259" s="57"/>
      <c r="S1259" s="57"/>
      <c r="T1259" s="57"/>
      <c r="U1259" s="57"/>
      <c r="V1259" s="57"/>
      <c r="W1259" s="57"/>
      <c r="X1259" s="57"/>
      <c r="Y1259" s="57"/>
      <c r="Z1259" s="57"/>
      <c r="AA1259" s="57"/>
    </row>
    <row r="1260" spans="1:27">
      <c r="A1260" s="57"/>
      <c r="B1260" s="57"/>
      <c r="C1260" s="60"/>
      <c r="D1260" s="57"/>
      <c r="E1260" s="57"/>
      <c r="F1260" s="57"/>
      <c r="G1260" s="57"/>
      <c r="H1260" s="57"/>
      <c r="I1260" s="57"/>
      <c r="J1260" s="57"/>
      <c r="K1260" s="57"/>
      <c r="L1260" s="57"/>
      <c r="M1260" s="57"/>
      <c r="N1260" s="57"/>
      <c r="O1260" s="57"/>
      <c r="P1260" s="60"/>
      <c r="Q1260" s="57"/>
      <c r="R1260" s="57"/>
      <c r="S1260" s="57"/>
      <c r="T1260" s="57"/>
      <c r="U1260" s="57"/>
      <c r="V1260" s="57"/>
      <c r="W1260" s="57"/>
      <c r="X1260" s="57"/>
      <c r="Y1260" s="57"/>
      <c r="Z1260" s="57"/>
      <c r="AA1260" s="57"/>
    </row>
    <row r="1261" spans="1:27">
      <c r="A1261" s="57"/>
      <c r="B1261" s="57"/>
      <c r="C1261" s="60"/>
      <c r="D1261" s="57"/>
      <c r="E1261" s="57"/>
      <c r="F1261" s="57"/>
      <c r="G1261" s="57"/>
      <c r="H1261" s="57"/>
      <c r="I1261" s="57"/>
      <c r="J1261" s="57"/>
      <c r="K1261" s="57"/>
      <c r="L1261" s="57"/>
      <c r="M1261" s="57"/>
      <c r="N1261" s="57"/>
      <c r="O1261" s="57"/>
      <c r="P1261" s="60"/>
      <c r="Q1261" s="57"/>
      <c r="R1261" s="57"/>
      <c r="S1261" s="57"/>
      <c r="T1261" s="57"/>
      <c r="U1261" s="57"/>
      <c r="V1261" s="57"/>
      <c r="W1261" s="57"/>
      <c r="X1261" s="57"/>
      <c r="Y1261" s="57"/>
      <c r="Z1261" s="57"/>
      <c r="AA1261" s="57"/>
    </row>
    <row r="1262" spans="1:27">
      <c r="A1262" s="57"/>
      <c r="B1262" s="57"/>
      <c r="C1262" s="60"/>
      <c r="D1262" s="57"/>
      <c r="E1262" s="57"/>
      <c r="F1262" s="57"/>
      <c r="G1262" s="57"/>
      <c r="H1262" s="57"/>
      <c r="I1262" s="57"/>
      <c r="J1262" s="57"/>
      <c r="K1262" s="57"/>
      <c r="L1262" s="57"/>
      <c r="M1262" s="57"/>
      <c r="N1262" s="57"/>
      <c r="O1262" s="57"/>
      <c r="P1262" s="60"/>
      <c r="Q1262" s="57"/>
      <c r="R1262" s="57"/>
      <c r="S1262" s="57"/>
      <c r="T1262" s="57"/>
      <c r="U1262" s="57"/>
      <c r="V1262" s="57"/>
      <c r="W1262" s="57"/>
      <c r="X1262" s="57"/>
      <c r="Y1262" s="57"/>
      <c r="Z1262" s="57"/>
      <c r="AA1262" s="57"/>
    </row>
    <row r="1263" spans="1:27">
      <c r="A1263" s="57"/>
      <c r="B1263" s="57"/>
      <c r="C1263" s="60"/>
      <c r="D1263" s="57"/>
      <c r="E1263" s="57"/>
      <c r="F1263" s="57"/>
      <c r="G1263" s="57"/>
      <c r="H1263" s="57"/>
      <c r="I1263" s="57"/>
      <c r="J1263" s="57"/>
      <c r="K1263" s="57"/>
      <c r="L1263" s="57"/>
      <c r="M1263" s="57"/>
      <c r="N1263" s="57"/>
      <c r="O1263" s="57"/>
      <c r="P1263" s="60"/>
      <c r="Q1263" s="57"/>
      <c r="R1263" s="57"/>
      <c r="S1263" s="57"/>
      <c r="T1263" s="57"/>
      <c r="U1263" s="57"/>
      <c r="V1263" s="57"/>
      <c r="W1263" s="57"/>
      <c r="X1263" s="57"/>
      <c r="Y1263" s="57"/>
      <c r="Z1263" s="57"/>
      <c r="AA1263" s="57"/>
    </row>
    <row r="1264" spans="1:27">
      <c r="A1264" s="57"/>
      <c r="B1264" s="57"/>
      <c r="C1264" s="60"/>
      <c r="D1264" s="57"/>
      <c r="E1264" s="57"/>
      <c r="F1264" s="57"/>
      <c r="G1264" s="57"/>
      <c r="H1264" s="57"/>
      <c r="I1264" s="57"/>
      <c r="J1264" s="57"/>
      <c r="K1264" s="57"/>
      <c r="L1264" s="57"/>
      <c r="M1264" s="57"/>
      <c r="N1264" s="57"/>
      <c r="O1264" s="57"/>
      <c r="P1264" s="60"/>
      <c r="Q1264" s="57"/>
      <c r="R1264" s="57"/>
      <c r="S1264" s="57"/>
      <c r="T1264" s="57"/>
      <c r="U1264" s="57"/>
      <c r="V1264" s="57"/>
      <c r="W1264" s="57"/>
      <c r="X1264" s="57"/>
      <c r="Y1264" s="57"/>
      <c r="Z1264" s="57"/>
      <c r="AA1264" s="57"/>
    </row>
    <row r="1265" spans="1:27">
      <c r="A1265" s="57"/>
      <c r="B1265" s="57"/>
      <c r="C1265" s="60"/>
      <c r="D1265" s="57"/>
      <c r="E1265" s="57"/>
      <c r="F1265" s="57"/>
      <c r="G1265" s="57"/>
      <c r="H1265" s="57"/>
      <c r="I1265" s="57"/>
      <c r="J1265" s="57"/>
      <c r="K1265" s="57"/>
      <c r="L1265" s="57"/>
      <c r="M1265" s="57"/>
      <c r="N1265" s="57"/>
      <c r="O1265" s="57"/>
      <c r="P1265" s="60"/>
      <c r="Q1265" s="57"/>
      <c r="R1265" s="57"/>
      <c r="S1265" s="57"/>
      <c r="T1265" s="57"/>
      <c r="U1265" s="57"/>
      <c r="V1265" s="57"/>
      <c r="W1265" s="57"/>
      <c r="X1265" s="57"/>
      <c r="Y1265" s="57"/>
      <c r="Z1265" s="57"/>
      <c r="AA1265" s="57"/>
    </row>
    <row r="1266" spans="1:27">
      <c r="A1266" s="57"/>
      <c r="B1266" s="57"/>
      <c r="C1266" s="60"/>
      <c r="D1266" s="57"/>
      <c r="E1266" s="57"/>
      <c r="F1266" s="57"/>
      <c r="G1266" s="57"/>
      <c r="H1266" s="57"/>
      <c r="I1266" s="57"/>
      <c r="J1266" s="57"/>
      <c r="K1266" s="57"/>
      <c r="L1266" s="57"/>
      <c r="M1266" s="57"/>
      <c r="N1266" s="57"/>
      <c r="O1266" s="57"/>
      <c r="P1266" s="60"/>
      <c r="Q1266" s="57"/>
      <c r="R1266" s="57"/>
      <c r="S1266" s="57"/>
      <c r="T1266" s="57"/>
      <c r="U1266" s="57"/>
      <c r="V1266" s="57"/>
      <c r="W1266" s="57"/>
      <c r="X1266" s="57"/>
      <c r="Y1266" s="57"/>
      <c r="Z1266" s="57"/>
      <c r="AA1266" s="57"/>
    </row>
    <row r="1267" spans="1:27">
      <c r="A1267" s="57"/>
      <c r="B1267" s="57"/>
      <c r="C1267" s="60"/>
      <c r="D1267" s="57"/>
      <c r="E1267" s="57"/>
      <c r="F1267" s="57"/>
      <c r="G1267" s="57"/>
      <c r="H1267" s="57"/>
      <c r="I1267" s="57"/>
      <c r="J1267" s="57"/>
      <c r="K1267" s="57"/>
      <c r="L1267" s="57"/>
      <c r="M1267" s="57"/>
      <c r="N1267" s="57"/>
      <c r="O1267" s="57"/>
      <c r="P1267" s="60"/>
      <c r="Q1267" s="57"/>
      <c r="R1267" s="57"/>
      <c r="S1267" s="57"/>
      <c r="T1267" s="57"/>
      <c r="U1267" s="57"/>
      <c r="V1267" s="57"/>
      <c r="W1267" s="57"/>
      <c r="X1267" s="57"/>
      <c r="Y1267" s="57"/>
      <c r="Z1267" s="57"/>
      <c r="AA1267" s="57"/>
    </row>
    <row r="1268" spans="1:27">
      <c r="A1268" s="57"/>
      <c r="B1268" s="57"/>
      <c r="C1268" s="60"/>
      <c r="D1268" s="57"/>
      <c r="E1268" s="57"/>
      <c r="F1268" s="57"/>
      <c r="G1268" s="57"/>
      <c r="H1268" s="57"/>
      <c r="I1268" s="57"/>
      <c r="J1268" s="57"/>
      <c r="K1268" s="57"/>
      <c r="L1268" s="57"/>
      <c r="M1268" s="57"/>
      <c r="N1268" s="57"/>
      <c r="O1268" s="57"/>
      <c r="P1268" s="60"/>
      <c r="Q1268" s="57"/>
      <c r="R1268" s="57"/>
      <c r="S1268" s="57"/>
      <c r="T1268" s="57"/>
      <c r="U1268" s="57"/>
      <c r="V1268" s="57"/>
      <c r="W1268" s="57"/>
      <c r="X1268" s="57"/>
      <c r="Y1268" s="57"/>
      <c r="Z1268" s="57"/>
      <c r="AA1268" s="57"/>
    </row>
    <row r="1269" spans="1:27">
      <c r="A1269" s="57"/>
      <c r="B1269" s="57"/>
      <c r="C1269" s="60"/>
      <c r="D1269" s="57"/>
      <c r="E1269" s="57"/>
      <c r="F1269" s="57"/>
      <c r="G1269" s="57"/>
      <c r="H1269" s="57"/>
      <c r="I1269" s="57"/>
      <c r="J1269" s="57"/>
      <c r="K1269" s="57"/>
      <c r="L1269" s="57"/>
      <c r="M1269" s="57"/>
      <c r="N1269" s="57"/>
      <c r="O1269" s="57"/>
      <c r="P1269" s="60"/>
      <c r="Q1269" s="57"/>
      <c r="R1269" s="57"/>
      <c r="S1269" s="57"/>
      <c r="T1269" s="57"/>
      <c r="U1269" s="57"/>
      <c r="V1269" s="57"/>
      <c r="W1269" s="57"/>
      <c r="X1269" s="57"/>
      <c r="Y1269" s="57"/>
      <c r="Z1269" s="57"/>
      <c r="AA1269" s="57"/>
    </row>
    <row r="1270" spans="1:27">
      <c r="A1270" s="57"/>
      <c r="B1270" s="57"/>
      <c r="C1270" s="60"/>
      <c r="D1270" s="57"/>
      <c r="E1270" s="57"/>
      <c r="F1270" s="57"/>
      <c r="G1270" s="57"/>
      <c r="H1270" s="57"/>
      <c r="I1270" s="57"/>
      <c r="J1270" s="57"/>
      <c r="K1270" s="57"/>
      <c r="L1270" s="57"/>
      <c r="M1270" s="57"/>
      <c r="N1270" s="57"/>
      <c r="O1270" s="57"/>
      <c r="P1270" s="60"/>
      <c r="Q1270" s="57"/>
      <c r="R1270" s="57"/>
      <c r="S1270" s="57"/>
      <c r="T1270" s="57"/>
      <c r="U1270" s="57"/>
      <c r="V1270" s="57"/>
      <c r="W1270" s="57"/>
      <c r="X1270" s="57"/>
      <c r="Y1270" s="57"/>
      <c r="Z1270" s="57"/>
      <c r="AA1270" s="57"/>
    </row>
    <row r="1271" spans="1:27">
      <c r="A1271" s="57"/>
      <c r="B1271" s="57"/>
      <c r="C1271" s="60"/>
      <c r="D1271" s="57"/>
      <c r="E1271" s="57"/>
      <c r="F1271" s="57"/>
      <c r="G1271" s="57"/>
      <c r="H1271" s="57"/>
      <c r="I1271" s="57"/>
      <c r="J1271" s="57"/>
      <c r="K1271" s="57"/>
      <c r="L1271" s="57"/>
      <c r="M1271" s="57"/>
      <c r="N1271" s="57"/>
      <c r="O1271" s="57"/>
      <c r="P1271" s="60"/>
      <c r="Q1271" s="57"/>
      <c r="R1271" s="57"/>
      <c r="S1271" s="57"/>
      <c r="T1271" s="57"/>
      <c r="U1271" s="57"/>
      <c r="V1271" s="57"/>
      <c r="W1271" s="57"/>
      <c r="X1271" s="57"/>
      <c r="Y1271" s="57"/>
      <c r="Z1271" s="57"/>
      <c r="AA1271" s="57"/>
    </row>
    <row r="1272" spans="1:27">
      <c r="A1272" s="57"/>
      <c r="B1272" s="57"/>
      <c r="C1272" s="60"/>
      <c r="D1272" s="57"/>
      <c r="E1272" s="57"/>
      <c r="F1272" s="57"/>
      <c r="G1272" s="57"/>
      <c r="H1272" s="57"/>
      <c r="I1272" s="57"/>
      <c r="J1272" s="57"/>
      <c r="K1272" s="57"/>
      <c r="L1272" s="57"/>
      <c r="M1272" s="57"/>
      <c r="N1272" s="57"/>
      <c r="O1272" s="57"/>
      <c r="P1272" s="60"/>
      <c r="Q1272" s="57"/>
      <c r="R1272" s="57"/>
      <c r="S1272" s="57"/>
      <c r="T1272" s="57"/>
      <c r="U1272" s="57"/>
      <c r="V1272" s="57"/>
      <c r="W1272" s="57"/>
      <c r="X1272" s="57"/>
      <c r="Y1272" s="57"/>
      <c r="Z1272" s="57"/>
      <c r="AA1272" s="57"/>
    </row>
    <row r="1273" spans="1:27">
      <c r="A1273" s="57"/>
      <c r="B1273" s="57"/>
      <c r="C1273" s="60"/>
      <c r="D1273" s="57"/>
      <c r="E1273" s="57"/>
      <c r="F1273" s="57"/>
      <c r="G1273" s="57"/>
      <c r="H1273" s="57"/>
      <c r="I1273" s="57"/>
      <c r="J1273" s="57"/>
      <c r="K1273" s="57"/>
      <c r="L1273" s="57"/>
      <c r="M1273" s="57"/>
      <c r="N1273" s="57"/>
      <c r="O1273" s="57"/>
      <c r="P1273" s="60"/>
      <c r="Q1273" s="57"/>
      <c r="R1273" s="57"/>
      <c r="S1273" s="57"/>
      <c r="T1273" s="57"/>
      <c r="U1273" s="57"/>
      <c r="V1273" s="57"/>
      <c r="W1273" s="57"/>
      <c r="X1273" s="57"/>
      <c r="Y1273" s="57"/>
      <c r="Z1273" s="57"/>
      <c r="AA1273" s="57"/>
    </row>
    <row r="1274" spans="1:27">
      <c r="A1274" s="57"/>
      <c r="B1274" s="57"/>
      <c r="C1274" s="60"/>
      <c r="D1274" s="57"/>
      <c r="E1274" s="57"/>
      <c r="F1274" s="57"/>
      <c r="G1274" s="57"/>
      <c r="H1274" s="57"/>
      <c r="I1274" s="57"/>
      <c r="J1274" s="57"/>
      <c r="K1274" s="57"/>
      <c r="L1274" s="57"/>
      <c r="M1274" s="57"/>
      <c r="N1274" s="57"/>
      <c r="O1274" s="57"/>
      <c r="P1274" s="60"/>
      <c r="Q1274" s="57"/>
      <c r="R1274" s="57"/>
      <c r="S1274" s="57"/>
      <c r="T1274" s="57"/>
      <c r="U1274" s="57"/>
      <c r="V1274" s="57"/>
      <c r="W1274" s="57"/>
      <c r="X1274" s="57"/>
      <c r="Y1274" s="57"/>
      <c r="Z1274" s="57"/>
      <c r="AA1274" s="57"/>
    </row>
    <row r="1275" spans="1:27">
      <c r="A1275" s="57"/>
      <c r="B1275" s="57"/>
      <c r="C1275" s="60"/>
      <c r="D1275" s="57"/>
      <c r="E1275" s="57"/>
      <c r="F1275" s="57"/>
      <c r="G1275" s="57"/>
      <c r="H1275" s="57"/>
      <c r="I1275" s="57"/>
      <c r="J1275" s="57"/>
      <c r="K1275" s="57"/>
      <c r="L1275" s="57"/>
      <c r="M1275" s="57"/>
      <c r="N1275" s="57"/>
      <c r="O1275" s="57"/>
      <c r="P1275" s="60"/>
      <c r="Q1275" s="57"/>
      <c r="R1275" s="57"/>
      <c r="S1275" s="57"/>
      <c r="T1275" s="57"/>
      <c r="U1275" s="57"/>
      <c r="V1275" s="57"/>
      <c r="W1275" s="57"/>
      <c r="X1275" s="57"/>
      <c r="Y1275" s="57"/>
      <c r="Z1275" s="57"/>
      <c r="AA1275" s="57"/>
    </row>
    <row r="1276" spans="1:27">
      <c r="A1276" s="57"/>
      <c r="B1276" s="57"/>
      <c r="C1276" s="60"/>
      <c r="D1276" s="57"/>
      <c r="E1276" s="57"/>
      <c r="F1276" s="57"/>
      <c r="G1276" s="57"/>
      <c r="H1276" s="57"/>
      <c r="I1276" s="57"/>
      <c r="J1276" s="57"/>
      <c r="K1276" s="57"/>
      <c r="L1276" s="57"/>
      <c r="M1276" s="57"/>
      <c r="N1276" s="57"/>
      <c r="O1276" s="57"/>
      <c r="P1276" s="60"/>
      <c r="Q1276" s="57"/>
      <c r="R1276" s="57"/>
      <c r="S1276" s="57"/>
      <c r="T1276" s="57"/>
      <c r="U1276" s="57"/>
      <c r="V1276" s="57"/>
      <c r="W1276" s="57"/>
      <c r="X1276" s="57"/>
      <c r="Y1276" s="57"/>
      <c r="Z1276" s="57"/>
      <c r="AA1276" s="57"/>
    </row>
    <row r="1277" spans="1:27">
      <c r="A1277" s="57"/>
      <c r="B1277" s="57"/>
      <c r="C1277" s="60"/>
      <c r="D1277" s="57"/>
      <c r="E1277" s="57"/>
      <c r="F1277" s="57"/>
      <c r="G1277" s="57"/>
      <c r="H1277" s="57"/>
      <c r="I1277" s="57"/>
      <c r="J1277" s="57"/>
      <c r="K1277" s="57"/>
      <c r="L1277" s="57"/>
      <c r="M1277" s="57"/>
      <c r="N1277" s="57"/>
      <c r="O1277" s="57"/>
      <c r="P1277" s="60"/>
      <c r="Q1277" s="57"/>
      <c r="R1277" s="57"/>
      <c r="S1277" s="57"/>
      <c r="T1277" s="57"/>
      <c r="U1277" s="57"/>
      <c r="V1277" s="57"/>
      <c r="W1277" s="57"/>
      <c r="X1277" s="57"/>
      <c r="Y1277" s="57"/>
      <c r="Z1277" s="57"/>
      <c r="AA1277" s="57"/>
    </row>
    <row r="1278" spans="1:27">
      <c r="A1278" s="57"/>
      <c r="B1278" s="57"/>
      <c r="C1278" s="60"/>
      <c r="D1278" s="57"/>
      <c r="E1278" s="57"/>
      <c r="F1278" s="57"/>
      <c r="G1278" s="57"/>
      <c r="H1278" s="57"/>
      <c r="I1278" s="57"/>
      <c r="J1278" s="57"/>
      <c r="K1278" s="57"/>
      <c r="L1278" s="57"/>
      <c r="M1278" s="57"/>
      <c r="N1278" s="57"/>
      <c r="O1278" s="57"/>
      <c r="P1278" s="60"/>
      <c r="Q1278" s="57"/>
      <c r="R1278" s="57"/>
      <c r="S1278" s="57"/>
      <c r="T1278" s="57"/>
      <c r="U1278" s="57"/>
      <c r="V1278" s="57"/>
      <c r="W1278" s="57"/>
      <c r="X1278" s="57"/>
      <c r="Y1278" s="57"/>
      <c r="Z1278" s="57"/>
      <c r="AA1278" s="57"/>
    </row>
    <row r="1279" spans="1:27">
      <c r="A1279" s="57"/>
      <c r="B1279" s="57"/>
      <c r="C1279" s="60"/>
      <c r="D1279" s="57"/>
      <c r="E1279" s="57"/>
      <c r="F1279" s="57"/>
      <c r="G1279" s="57"/>
      <c r="H1279" s="57"/>
      <c r="I1279" s="57"/>
      <c r="J1279" s="57"/>
      <c r="K1279" s="57"/>
      <c r="L1279" s="57"/>
      <c r="M1279" s="57"/>
      <c r="N1279" s="57"/>
      <c r="O1279" s="57"/>
      <c r="P1279" s="60"/>
      <c r="Q1279" s="57"/>
      <c r="R1279" s="57"/>
      <c r="S1279" s="57"/>
      <c r="T1279" s="57"/>
      <c r="U1279" s="57"/>
      <c r="V1279" s="57"/>
      <c r="W1279" s="57"/>
      <c r="X1279" s="57"/>
      <c r="Y1279" s="57"/>
      <c r="Z1279" s="57"/>
      <c r="AA1279" s="57"/>
    </row>
    <row r="1280" spans="1:27">
      <c r="A1280" s="57"/>
      <c r="B1280" s="57"/>
      <c r="C1280" s="60"/>
      <c r="D1280" s="57"/>
      <c r="E1280" s="57"/>
      <c r="F1280" s="57"/>
      <c r="G1280" s="57"/>
      <c r="H1280" s="57"/>
      <c r="I1280" s="57"/>
      <c r="J1280" s="57"/>
      <c r="K1280" s="57"/>
      <c r="L1280" s="57"/>
      <c r="M1280" s="57"/>
      <c r="N1280" s="57"/>
      <c r="O1280" s="57"/>
      <c r="P1280" s="60"/>
      <c r="Q1280" s="57"/>
      <c r="R1280" s="57"/>
      <c r="S1280" s="57"/>
      <c r="T1280" s="57"/>
      <c r="U1280" s="57"/>
      <c r="V1280" s="57"/>
      <c r="W1280" s="57"/>
      <c r="X1280" s="57"/>
      <c r="Y1280" s="57"/>
      <c r="Z1280" s="57"/>
      <c r="AA1280" s="57"/>
    </row>
    <row r="1281" spans="1:27">
      <c r="A1281" s="57"/>
      <c r="B1281" s="57"/>
      <c r="C1281" s="60"/>
      <c r="D1281" s="57"/>
      <c r="E1281" s="57"/>
      <c r="F1281" s="57"/>
      <c r="G1281" s="57"/>
      <c r="H1281" s="57"/>
      <c r="I1281" s="57"/>
      <c r="J1281" s="57"/>
      <c r="K1281" s="57"/>
      <c r="L1281" s="57"/>
      <c r="M1281" s="57"/>
      <c r="N1281" s="57"/>
      <c r="O1281" s="57"/>
      <c r="P1281" s="60"/>
      <c r="Q1281" s="57"/>
      <c r="R1281" s="57"/>
      <c r="S1281" s="57"/>
      <c r="T1281" s="57"/>
      <c r="U1281" s="57"/>
      <c r="V1281" s="57"/>
      <c r="W1281" s="57"/>
      <c r="X1281" s="57"/>
      <c r="Y1281" s="57"/>
      <c r="Z1281" s="57"/>
      <c r="AA1281" s="57"/>
    </row>
    <row r="1282" spans="1:27">
      <c r="A1282" s="57"/>
      <c r="B1282" s="57"/>
      <c r="C1282" s="60"/>
      <c r="D1282" s="57"/>
      <c r="E1282" s="57"/>
      <c r="F1282" s="57"/>
      <c r="G1282" s="57"/>
      <c r="H1282" s="57"/>
      <c r="I1282" s="57"/>
      <c r="J1282" s="57"/>
      <c r="K1282" s="57"/>
      <c r="L1282" s="57"/>
      <c r="M1282" s="57"/>
      <c r="N1282" s="57"/>
      <c r="O1282" s="57"/>
      <c r="P1282" s="60"/>
      <c r="Q1282" s="57"/>
      <c r="R1282" s="57"/>
      <c r="S1282" s="57"/>
      <c r="T1282" s="57"/>
      <c r="U1282" s="57"/>
      <c r="V1282" s="57"/>
      <c r="W1282" s="57"/>
      <c r="X1282" s="57"/>
      <c r="Y1282" s="57"/>
      <c r="Z1282" s="57"/>
      <c r="AA1282" s="57"/>
    </row>
    <row r="1283" spans="1:27">
      <c r="A1283" s="57"/>
      <c r="B1283" s="57"/>
      <c r="C1283" s="60"/>
      <c r="D1283" s="57"/>
      <c r="E1283" s="57"/>
      <c r="F1283" s="57"/>
      <c r="G1283" s="57"/>
      <c r="H1283" s="57"/>
      <c r="I1283" s="57"/>
      <c r="J1283" s="57"/>
      <c r="K1283" s="57"/>
      <c r="L1283" s="57"/>
      <c r="M1283" s="57"/>
      <c r="N1283" s="57"/>
      <c r="O1283" s="57"/>
      <c r="P1283" s="60"/>
      <c r="Q1283" s="57"/>
      <c r="R1283" s="57"/>
      <c r="S1283" s="57"/>
      <c r="T1283" s="57"/>
      <c r="U1283" s="57"/>
      <c r="V1283" s="57"/>
      <c r="W1283" s="57"/>
      <c r="X1283" s="57"/>
      <c r="Y1283" s="57"/>
      <c r="Z1283" s="57"/>
      <c r="AA1283" s="57"/>
    </row>
    <row r="1284" spans="1:27">
      <c r="A1284" s="57"/>
      <c r="B1284" s="57"/>
      <c r="C1284" s="60"/>
      <c r="D1284" s="57"/>
      <c r="E1284" s="57"/>
      <c r="F1284" s="57"/>
      <c r="G1284" s="57"/>
      <c r="H1284" s="57"/>
      <c r="I1284" s="57"/>
      <c r="J1284" s="57"/>
      <c r="K1284" s="57"/>
      <c r="L1284" s="57"/>
      <c r="M1284" s="57"/>
      <c r="N1284" s="57"/>
      <c r="O1284" s="57"/>
      <c r="P1284" s="60"/>
      <c r="Q1284" s="57"/>
      <c r="R1284" s="57"/>
      <c r="S1284" s="57"/>
      <c r="T1284" s="57"/>
      <c r="U1284" s="57"/>
      <c r="V1284" s="57"/>
      <c r="W1284" s="57"/>
      <c r="X1284" s="57"/>
      <c r="Y1284" s="57"/>
      <c r="Z1284" s="57"/>
      <c r="AA1284" s="57"/>
    </row>
    <row r="1285" spans="1:27">
      <c r="A1285" s="57"/>
      <c r="B1285" s="57"/>
      <c r="C1285" s="60"/>
      <c r="D1285" s="57"/>
      <c r="E1285" s="57"/>
      <c r="F1285" s="57"/>
      <c r="G1285" s="57"/>
      <c r="H1285" s="57"/>
      <c r="I1285" s="57"/>
      <c r="J1285" s="57"/>
      <c r="K1285" s="57"/>
      <c r="L1285" s="57"/>
      <c r="M1285" s="57"/>
      <c r="N1285" s="57"/>
      <c r="O1285" s="57"/>
      <c r="P1285" s="60"/>
      <c r="Q1285" s="57"/>
      <c r="R1285" s="57"/>
      <c r="S1285" s="57"/>
      <c r="T1285" s="57"/>
      <c r="U1285" s="57"/>
      <c r="V1285" s="57"/>
      <c r="W1285" s="57"/>
      <c r="X1285" s="57"/>
      <c r="Y1285" s="57"/>
      <c r="Z1285" s="57"/>
      <c r="AA1285" s="57"/>
    </row>
    <row r="1286" spans="1:27">
      <c r="A1286" s="57"/>
      <c r="B1286" s="57"/>
      <c r="C1286" s="60"/>
      <c r="D1286" s="57"/>
      <c r="E1286" s="57"/>
      <c r="F1286" s="57"/>
      <c r="G1286" s="57"/>
      <c r="H1286" s="57"/>
      <c r="I1286" s="57"/>
      <c r="J1286" s="57"/>
      <c r="K1286" s="57"/>
      <c r="L1286" s="57"/>
      <c r="M1286" s="57"/>
      <c r="N1286" s="57"/>
      <c r="O1286" s="57"/>
      <c r="P1286" s="60"/>
      <c r="Q1286" s="57"/>
      <c r="R1286" s="57"/>
      <c r="S1286" s="57"/>
      <c r="T1286" s="57"/>
      <c r="U1286" s="57"/>
      <c r="V1286" s="57"/>
      <c r="W1286" s="57"/>
      <c r="X1286" s="57"/>
      <c r="Y1286" s="57"/>
      <c r="Z1286" s="57"/>
      <c r="AA1286" s="57"/>
    </row>
    <row r="1287" spans="1:27">
      <c r="A1287" s="57"/>
      <c r="B1287" s="57"/>
      <c r="C1287" s="60"/>
      <c r="D1287" s="57"/>
      <c r="E1287" s="57"/>
      <c r="F1287" s="57"/>
      <c r="G1287" s="57"/>
      <c r="H1287" s="57"/>
      <c r="I1287" s="57"/>
      <c r="J1287" s="57"/>
      <c r="K1287" s="57"/>
      <c r="L1287" s="57"/>
      <c r="M1287" s="57"/>
      <c r="N1287" s="57"/>
      <c r="O1287" s="57"/>
      <c r="P1287" s="60"/>
      <c r="Q1287" s="57"/>
      <c r="R1287" s="57"/>
      <c r="S1287" s="57"/>
      <c r="T1287" s="57"/>
      <c r="U1287" s="57"/>
      <c r="V1287" s="57"/>
      <c r="W1287" s="57"/>
      <c r="X1287" s="57"/>
      <c r="Y1287" s="57"/>
      <c r="Z1287" s="57"/>
      <c r="AA1287" s="57"/>
    </row>
    <row r="1288" spans="1:27">
      <c r="A1288" s="57"/>
      <c r="B1288" s="57"/>
      <c r="C1288" s="60"/>
      <c r="D1288" s="57"/>
      <c r="E1288" s="57"/>
      <c r="F1288" s="57"/>
      <c r="G1288" s="57"/>
      <c r="H1288" s="57"/>
      <c r="I1288" s="57"/>
      <c r="J1288" s="57"/>
      <c r="K1288" s="57"/>
      <c r="L1288" s="57"/>
      <c r="M1288" s="57"/>
      <c r="N1288" s="57"/>
      <c r="O1288" s="57"/>
      <c r="P1288" s="60"/>
      <c r="Q1288" s="57"/>
      <c r="R1288" s="57"/>
      <c r="S1288" s="57"/>
      <c r="T1288" s="57"/>
      <c r="U1288" s="57"/>
      <c r="V1288" s="57"/>
      <c r="W1288" s="57"/>
      <c r="X1288" s="57"/>
      <c r="Y1288" s="57"/>
      <c r="Z1288" s="57"/>
      <c r="AA1288" s="57"/>
    </row>
    <row r="1289" spans="1:27">
      <c r="A1289" s="57"/>
      <c r="B1289" s="57"/>
      <c r="C1289" s="60"/>
      <c r="D1289" s="57"/>
      <c r="E1289" s="57"/>
      <c r="F1289" s="57"/>
      <c r="G1289" s="57"/>
      <c r="H1289" s="57"/>
      <c r="I1289" s="57"/>
      <c r="J1289" s="57"/>
      <c r="K1289" s="57"/>
      <c r="L1289" s="57"/>
      <c r="M1289" s="57"/>
      <c r="N1289" s="57"/>
      <c r="O1289" s="57"/>
      <c r="P1289" s="60"/>
      <c r="Q1289" s="57"/>
      <c r="R1289" s="57"/>
      <c r="S1289" s="57"/>
      <c r="T1289" s="57"/>
      <c r="U1289" s="57"/>
      <c r="V1289" s="57"/>
      <c r="W1289" s="57"/>
      <c r="X1289" s="57"/>
      <c r="Y1289" s="57"/>
      <c r="Z1289" s="57"/>
      <c r="AA1289" s="57"/>
    </row>
    <row r="1290" spans="1:27">
      <c r="A1290" s="57"/>
      <c r="B1290" s="57"/>
      <c r="C1290" s="60"/>
      <c r="D1290" s="57"/>
      <c r="E1290" s="57"/>
      <c r="F1290" s="57"/>
      <c r="G1290" s="57"/>
      <c r="H1290" s="57"/>
      <c r="I1290" s="57"/>
      <c r="J1290" s="57"/>
      <c r="K1290" s="57"/>
      <c r="L1290" s="57"/>
      <c r="M1290" s="57"/>
      <c r="N1290" s="57"/>
      <c r="O1290" s="57"/>
      <c r="P1290" s="60"/>
      <c r="Q1290" s="57"/>
      <c r="R1290" s="57"/>
      <c r="S1290" s="57"/>
      <c r="T1290" s="57"/>
      <c r="U1290" s="57"/>
      <c r="V1290" s="57"/>
      <c r="W1290" s="57"/>
      <c r="X1290" s="57"/>
      <c r="Y1290" s="57"/>
      <c r="Z1290" s="57"/>
      <c r="AA1290" s="57"/>
    </row>
    <row r="1291" spans="1:27">
      <c r="A1291" s="57"/>
      <c r="B1291" s="57"/>
      <c r="C1291" s="60"/>
      <c r="D1291" s="57"/>
      <c r="E1291" s="57"/>
      <c r="F1291" s="57"/>
      <c r="G1291" s="57"/>
      <c r="H1291" s="57"/>
      <c r="I1291" s="57"/>
      <c r="J1291" s="57"/>
      <c r="K1291" s="57"/>
      <c r="L1291" s="57"/>
      <c r="M1291" s="57"/>
      <c r="N1291" s="57"/>
      <c r="O1291" s="57"/>
      <c r="P1291" s="60"/>
      <c r="Q1291" s="57"/>
      <c r="R1291" s="57"/>
      <c r="S1291" s="57"/>
      <c r="T1291" s="57"/>
      <c r="U1291" s="57"/>
      <c r="V1291" s="57"/>
      <c r="W1291" s="57"/>
      <c r="X1291" s="57"/>
      <c r="Y1291" s="57"/>
      <c r="Z1291" s="57"/>
      <c r="AA1291" s="57"/>
    </row>
    <row r="1292" spans="1:27">
      <c r="A1292" s="57"/>
      <c r="B1292" s="57"/>
      <c r="C1292" s="60"/>
      <c r="D1292" s="57"/>
      <c r="E1292" s="57"/>
      <c r="F1292" s="57"/>
      <c r="G1292" s="57"/>
      <c r="H1292" s="57"/>
      <c r="I1292" s="57"/>
      <c r="J1292" s="57"/>
      <c r="K1292" s="57"/>
      <c r="L1292" s="57"/>
      <c r="M1292" s="57"/>
      <c r="N1292" s="57"/>
      <c r="O1292" s="57"/>
      <c r="P1292" s="60"/>
      <c r="Q1292" s="57"/>
      <c r="R1292" s="57"/>
      <c r="S1292" s="57"/>
      <c r="T1292" s="57"/>
      <c r="U1292" s="57"/>
      <c r="V1292" s="57"/>
      <c r="W1292" s="57"/>
      <c r="X1292" s="57"/>
      <c r="Y1292" s="57"/>
      <c r="Z1292" s="57"/>
      <c r="AA1292" s="57"/>
    </row>
    <row r="1293" spans="1:27">
      <c r="A1293" s="57"/>
      <c r="B1293" s="57"/>
      <c r="C1293" s="60"/>
      <c r="D1293" s="57"/>
      <c r="E1293" s="57"/>
      <c r="F1293" s="57"/>
      <c r="G1293" s="57"/>
      <c r="H1293" s="57"/>
      <c r="I1293" s="57"/>
      <c r="J1293" s="57"/>
      <c r="K1293" s="57"/>
      <c r="L1293" s="57"/>
      <c r="M1293" s="57"/>
      <c r="N1293" s="57"/>
      <c r="O1293" s="57"/>
      <c r="P1293" s="60"/>
      <c r="Q1293" s="57"/>
      <c r="R1293" s="57"/>
      <c r="S1293" s="57"/>
      <c r="T1293" s="57"/>
      <c r="U1293" s="57"/>
      <c r="V1293" s="57"/>
      <c r="W1293" s="57"/>
      <c r="X1293" s="57"/>
      <c r="Y1293" s="57"/>
      <c r="Z1293" s="57"/>
      <c r="AA1293" s="57"/>
    </row>
    <row r="1294" spans="1:27">
      <c r="A1294" s="57"/>
      <c r="B1294" s="57"/>
      <c r="C1294" s="60"/>
      <c r="D1294" s="57"/>
      <c r="E1294" s="57"/>
      <c r="F1294" s="57"/>
      <c r="G1294" s="57"/>
      <c r="H1294" s="57"/>
      <c r="I1294" s="57"/>
      <c r="J1294" s="57"/>
      <c r="K1294" s="57"/>
      <c r="L1294" s="57"/>
      <c r="M1294" s="57"/>
      <c r="N1294" s="57"/>
      <c r="O1294" s="57"/>
      <c r="P1294" s="60"/>
      <c r="Q1294" s="57"/>
      <c r="R1294" s="57"/>
      <c r="S1294" s="57"/>
      <c r="T1294" s="57"/>
      <c r="U1294" s="57"/>
      <c r="V1294" s="57"/>
      <c r="W1294" s="57"/>
      <c r="X1294" s="57"/>
      <c r="Y1294" s="57"/>
      <c r="Z1294" s="57"/>
      <c r="AA1294" s="57"/>
    </row>
    <row r="1295" spans="1:27">
      <c r="A1295" s="57"/>
      <c r="B1295" s="57"/>
      <c r="C1295" s="60"/>
      <c r="D1295" s="57"/>
      <c r="E1295" s="57"/>
      <c r="F1295" s="57"/>
      <c r="G1295" s="57"/>
      <c r="H1295" s="57"/>
      <c r="I1295" s="57"/>
      <c r="J1295" s="57"/>
      <c r="K1295" s="57"/>
      <c r="L1295" s="57"/>
      <c r="M1295" s="57"/>
      <c r="N1295" s="57"/>
      <c r="O1295" s="57"/>
      <c r="P1295" s="60"/>
      <c r="Q1295" s="57"/>
      <c r="R1295" s="57"/>
      <c r="S1295" s="57"/>
      <c r="T1295" s="57"/>
      <c r="U1295" s="57"/>
      <c r="V1295" s="57"/>
      <c r="W1295" s="57"/>
      <c r="X1295" s="57"/>
      <c r="Y1295" s="57"/>
      <c r="Z1295" s="57"/>
      <c r="AA1295" s="57"/>
    </row>
    <row r="1296" spans="1:27">
      <c r="A1296" s="57"/>
      <c r="B1296" s="57"/>
      <c r="C1296" s="60"/>
      <c r="D1296" s="57"/>
      <c r="E1296" s="57"/>
      <c r="F1296" s="57"/>
      <c r="G1296" s="57"/>
      <c r="H1296" s="57"/>
      <c r="I1296" s="57"/>
      <c r="J1296" s="57"/>
      <c r="K1296" s="57"/>
      <c r="L1296" s="57"/>
      <c r="M1296" s="57"/>
      <c r="N1296" s="57"/>
      <c r="O1296" s="57"/>
      <c r="P1296" s="60"/>
      <c r="Q1296" s="57"/>
      <c r="R1296" s="57"/>
      <c r="S1296" s="57"/>
      <c r="T1296" s="57"/>
      <c r="U1296" s="57"/>
      <c r="V1296" s="57"/>
      <c r="W1296" s="57"/>
      <c r="X1296" s="57"/>
      <c r="Y1296" s="57"/>
      <c r="Z1296" s="57"/>
      <c r="AA1296" s="57"/>
    </row>
    <row r="1297" spans="1:27">
      <c r="A1297" s="57"/>
      <c r="B1297" s="57"/>
      <c r="C1297" s="60"/>
      <c r="D1297" s="57"/>
      <c r="E1297" s="57"/>
      <c r="F1297" s="57"/>
      <c r="G1297" s="57"/>
      <c r="H1297" s="57"/>
      <c r="I1297" s="57"/>
      <c r="J1297" s="57"/>
      <c r="K1297" s="57"/>
      <c r="L1297" s="57"/>
      <c r="M1297" s="57"/>
      <c r="N1297" s="57"/>
      <c r="O1297" s="57"/>
      <c r="P1297" s="60"/>
      <c r="Q1297" s="57"/>
      <c r="R1297" s="57"/>
      <c r="S1297" s="57"/>
      <c r="T1297" s="57"/>
      <c r="U1297" s="57"/>
      <c r="V1297" s="57"/>
      <c r="W1297" s="57"/>
      <c r="X1297" s="57"/>
      <c r="Y1297" s="57"/>
      <c r="Z1297" s="57"/>
      <c r="AA1297" s="57"/>
    </row>
    <row r="1298" spans="1:27">
      <c r="A1298" s="57"/>
      <c r="B1298" s="57"/>
      <c r="C1298" s="60"/>
      <c r="D1298" s="57"/>
      <c r="E1298" s="57"/>
      <c r="F1298" s="57"/>
      <c r="G1298" s="57"/>
      <c r="H1298" s="57"/>
      <c r="I1298" s="57"/>
      <c r="J1298" s="57"/>
      <c r="K1298" s="57"/>
      <c r="L1298" s="57"/>
      <c r="M1298" s="57"/>
      <c r="N1298" s="57"/>
      <c r="O1298" s="57"/>
      <c r="P1298" s="60"/>
      <c r="Q1298" s="57"/>
      <c r="R1298" s="57"/>
      <c r="S1298" s="57"/>
      <c r="T1298" s="57"/>
      <c r="U1298" s="57"/>
      <c r="V1298" s="57"/>
      <c r="W1298" s="57"/>
      <c r="X1298" s="57"/>
      <c r="Y1298" s="57"/>
      <c r="Z1298" s="57"/>
      <c r="AA1298" s="57"/>
    </row>
    <row r="1299" spans="1:27">
      <c r="A1299" s="57"/>
      <c r="B1299" s="57"/>
      <c r="C1299" s="60"/>
      <c r="D1299" s="57"/>
      <c r="E1299" s="57"/>
      <c r="F1299" s="57"/>
      <c r="G1299" s="57"/>
      <c r="H1299" s="57"/>
      <c r="I1299" s="57"/>
      <c r="J1299" s="57"/>
      <c r="K1299" s="57"/>
      <c r="L1299" s="57"/>
      <c r="M1299" s="57"/>
      <c r="N1299" s="57"/>
      <c r="O1299" s="57"/>
      <c r="P1299" s="60"/>
      <c r="Q1299" s="57"/>
      <c r="R1299" s="57"/>
      <c r="S1299" s="57"/>
      <c r="T1299" s="57"/>
      <c r="U1299" s="57"/>
      <c r="V1299" s="57"/>
      <c r="W1299" s="57"/>
      <c r="X1299" s="57"/>
      <c r="Y1299" s="57"/>
      <c r="Z1299" s="57"/>
      <c r="AA1299" s="57"/>
    </row>
    <row r="1300" spans="1:27">
      <c r="A1300" s="57"/>
      <c r="B1300" s="57"/>
      <c r="C1300" s="60"/>
      <c r="D1300" s="57"/>
      <c r="E1300" s="57"/>
      <c r="F1300" s="57"/>
      <c r="G1300" s="57"/>
      <c r="H1300" s="57"/>
      <c r="I1300" s="57"/>
      <c r="J1300" s="57"/>
      <c r="K1300" s="57"/>
      <c r="L1300" s="57"/>
      <c r="M1300" s="57"/>
      <c r="N1300" s="57"/>
      <c r="O1300" s="57"/>
      <c r="P1300" s="60"/>
      <c r="Q1300" s="57"/>
      <c r="R1300" s="57"/>
      <c r="S1300" s="57"/>
      <c r="T1300" s="57"/>
      <c r="U1300" s="57"/>
      <c r="V1300" s="57"/>
      <c r="W1300" s="57"/>
      <c r="X1300" s="57"/>
      <c r="Y1300" s="57"/>
      <c r="Z1300" s="57"/>
      <c r="AA1300" s="57"/>
    </row>
    <row r="1301" spans="1:27">
      <c r="A1301" s="57"/>
      <c r="B1301" s="57"/>
      <c r="C1301" s="60"/>
      <c r="D1301" s="57"/>
      <c r="E1301" s="57"/>
      <c r="F1301" s="57"/>
      <c r="G1301" s="57"/>
      <c r="H1301" s="57"/>
      <c r="I1301" s="57"/>
      <c r="J1301" s="57"/>
      <c r="K1301" s="57"/>
      <c r="L1301" s="57"/>
      <c r="M1301" s="57"/>
      <c r="N1301" s="57"/>
      <c r="O1301" s="57"/>
      <c r="P1301" s="60"/>
      <c r="Q1301" s="57"/>
      <c r="R1301" s="57"/>
      <c r="S1301" s="57"/>
      <c r="T1301" s="57"/>
      <c r="U1301" s="57"/>
      <c r="V1301" s="57"/>
      <c r="W1301" s="57"/>
      <c r="X1301" s="57"/>
      <c r="Y1301" s="57"/>
      <c r="Z1301" s="57"/>
      <c r="AA1301" s="57"/>
    </row>
    <row r="1302" spans="1:27">
      <c r="A1302" s="57"/>
      <c r="B1302" s="57"/>
      <c r="C1302" s="60"/>
      <c r="D1302" s="57"/>
      <c r="E1302" s="57"/>
      <c r="F1302" s="57"/>
      <c r="G1302" s="57"/>
      <c r="H1302" s="57"/>
      <c r="I1302" s="57"/>
      <c r="J1302" s="57"/>
      <c r="K1302" s="57"/>
      <c r="L1302" s="57"/>
      <c r="M1302" s="57"/>
      <c r="N1302" s="57"/>
      <c r="O1302" s="57"/>
      <c r="P1302" s="60"/>
      <c r="Q1302" s="57"/>
      <c r="R1302" s="57"/>
      <c r="S1302" s="57"/>
      <c r="T1302" s="57"/>
      <c r="U1302" s="57"/>
      <c r="V1302" s="57"/>
      <c r="W1302" s="57"/>
      <c r="X1302" s="57"/>
      <c r="Y1302" s="57"/>
      <c r="Z1302" s="57"/>
      <c r="AA1302" s="57"/>
    </row>
    <row r="1303" spans="1:27">
      <c r="A1303" s="57"/>
      <c r="B1303" s="57"/>
      <c r="C1303" s="60"/>
      <c r="D1303" s="57"/>
      <c r="E1303" s="57"/>
      <c r="F1303" s="57"/>
      <c r="G1303" s="57"/>
      <c r="H1303" s="57"/>
      <c r="I1303" s="57"/>
      <c r="J1303" s="57"/>
      <c r="K1303" s="57"/>
      <c r="L1303" s="57"/>
      <c r="M1303" s="57"/>
      <c r="N1303" s="57"/>
      <c r="O1303" s="57"/>
      <c r="P1303" s="60"/>
      <c r="Q1303" s="57"/>
      <c r="R1303" s="57"/>
      <c r="S1303" s="57"/>
      <c r="T1303" s="57"/>
      <c r="U1303" s="57"/>
      <c r="V1303" s="57"/>
      <c r="W1303" s="57"/>
      <c r="X1303" s="57"/>
      <c r="Y1303" s="57"/>
      <c r="Z1303" s="57"/>
      <c r="AA1303" s="57"/>
    </row>
    <row r="1304" spans="1:27">
      <c r="A1304" s="57"/>
      <c r="B1304" s="57"/>
      <c r="C1304" s="60"/>
      <c r="D1304" s="57"/>
      <c r="E1304" s="57"/>
      <c r="F1304" s="57"/>
      <c r="G1304" s="57"/>
      <c r="H1304" s="57"/>
      <c r="I1304" s="57"/>
      <c r="J1304" s="57"/>
      <c r="K1304" s="57"/>
      <c r="L1304" s="57"/>
      <c r="M1304" s="57"/>
      <c r="N1304" s="57"/>
      <c r="O1304" s="57"/>
      <c r="P1304" s="60"/>
      <c r="Q1304" s="57"/>
      <c r="R1304" s="57"/>
      <c r="S1304" s="57"/>
      <c r="T1304" s="57"/>
      <c r="U1304" s="57"/>
      <c r="V1304" s="57"/>
      <c r="W1304" s="57"/>
      <c r="X1304" s="57"/>
      <c r="Y1304" s="57"/>
      <c r="Z1304" s="57"/>
      <c r="AA1304" s="57"/>
    </row>
    <row r="1305" spans="1:27">
      <c r="A1305" s="57"/>
      <c r="B1305" s="57"/>
      <c r="C1305" s="60"/>
      <c r="D1305" s="57"/>
      <c r="E1305" s="57"/>
      <c r="F1305" s="57"/>
      <c r="G1305" s="57"/>
      <c r="H1305" s="57"/>
      <c r="I1305" s="57"/>
      <c r="J1305" s="57"/>
      <c r="K1305" s="57"/>
      <c r="L1305" s="57"/>
      <c r="M1305" s="57"/>
      <c r="N1305" s="57"/>
      <c r="O1305" s="57"/>
      <c r="P1305" s="60"/>
      <c r="Q1305" s="57"/>
      <c r="R1305" s="57"/>
      <c r="S1305" s="57"/>
      <c r="T1305" s="57"/>
      <c r="U1305" s="57"/>
      <c r="V1305" s="57"/>
      <c r="W1305" s="57"/>
      <c r="X1305" s="57"/>
      <c r="Y1305" s="57"/>
      <c r="Z1305" s="57"/>
      <c r="AA1305" s="57"/>
    </row>
    <row r="1306" spans="1:27">
      <c r="A1306" s="57"/>
      <c r="B1306" s="57"/>
      <c r="C1306" s="60"/>
      <c r="D1306" s="57"/>
      <c r="E1306" s="57"/>
      <c r="F1306" s="57"/>
      <c r="G1306" s="57"/>
      <c r="H1306" s="57"/>
      <c r="I1306" s="57"/>
      <c r="J1306" s="57"/>
      <c r="K1306" s="57"/>
      <c r="L1306" s="57"/>
      <c r="M1306" s="57"/>
      <c r="N1306" s="57"/>
      <c r="O1306" s="57"/>
      <c r="P1306" s="60"/>
      <c r="Q1306" s="57"/>
      <c r="R1306" s="57"/>
      <c r="S1306" s="57"/>
      <c r="T1306" s="57"/>
      <c r="U1306" s="57"/>
      <c r="V1306" s="57"/>
      <c r="W1306" s="57"/>
      <c r="X1306" s="57"/>
      <c r="Y1306" s="57"/>
      <c r="Z1306" s="57"/>
      <c r="AA1306" s="57"/>
    </row>
    <row r="1307" spans="1:27">
      <c r="A1307" s="57"/>
      <c r="B1307" s="57"/>
      <c r="C1307" s="60"/>
      <c r="D1307" s="57"/>
      <c r="E1307" s="57"/>
      <c r="F1307" s="57"/>
      <c r="G1307" s="57"/>
      <c r="H1307" s="57"/>
      <c r="I1307" s="57"/>
      <c r="J1307" s="57"/>
      <c r="K1307" s="57"/>
      <c r="L1307" s="57"/>
      <c r="M1307" s="57"/>
      <c r="N1307" s="57"/>
      <c r="O1307" s="57"/>
      <c r="P1307" s="60"/>
      <c r="Q1307" s="57"/>
      <c r="R1307" s="57"/>
      <c r="S1307" s="57"/>
      <c r="T1307" s="57"/>
      <c r="U1307" s="57"/>
      <c r="V1307" s="57"/>
      <c r="W1307" s="57"/>
      <c r="X1307" s="57"/>
      <c r="Y1307" s="57"/>
      <c r="Z1307" s="57"/>
      <c r="AA1307" s="57"/>
    </row>
    <row r="1308" spans="1:27">
      <c r="A1308" s="57"/>
      <c r="B1308" s="57"/>
      <c r="C1308" s="60"/>
      <c r="D1308" s="57"/>
      <c r="E1308" s="57"/>
      <c r="F1308" s="57"/>
      <c r="G1308" s="57"/>
      <c r="H1308" s="57"/>
      <c r="I1308" s="57"/>
      <c r="J1308" s="57"/>
      <c r="K1308" s="57"/>
      <c r="L1308" s="57"/>
      <c r="M1308" s="57"/>
      <c r="N1308" s="57"/>
      <c r="O1308" s="57"/>
      <c r="P1308" s="60"/>
      <c r="Q1308" s="57"/>
      <c r="R1308" s="57"/>
      <c r="S1308" s="57"/>
      <c r="T1308" s="57"/>
      <c r="U1308" s="57"/>
      <c r="V1308" s="57"/>
      <c r="W1308" s="57"/>
      <c r="X1308" s="57"/>
      <c r="Y1308" s="57"/>
      <c r="Z1308" s="57"/>
      <c r="AA1308" s="57"/>
    </row>
    <row r="1309" spans="1:27">
      <c r="A1309" s="57"/>
      <c r="B1309" s="57"/>
      <c r="C1309" s="60"/>
      <c r="D1309" s="57"/>
      <c r="E1309" s="57"/>
      <c r="F1309" s="57"/>
      <c r="G1309" s="57"/>
      <c r="H1309" s="57"/>
      <c r="I1309" s="57"/>
      <c r="J1309" s="57"/>
      <c r="K1309" s="57"/>
      <c r="L1309" s="57"/>
      <c r="M1309" s="57"/>
      <c r="N1309" s="57"/>
      <c r="O1309" s="57"/>
      <c r="P1309" s="60"/>
      <c r="Q1309" s="57"/>
      <c r="R1309" s="57"/>
      <c r="S1309" s="57"/>
      <c r="T1309" s="57"/>
      <c r="U1309" s="57"/>
      <c r="V1309" s="57"/>
      <c r="W1309" s="57"/>
      <c r="X1309" s="57"/>
      <c r="Y1309" s="57"/>
      <c r="Z1309" s="57"/>
      <c r="AA1309" s="57"/>
    </row>
    <row r="1310" spans="1:27">
      <c r="A1310" s="57"/>
      <c r="B1310" s="57"/>
      <c r="C1310" s="60"/>
      <c r="D1310" s="57"/>
      <c r="E1310" s="57"/>
      <c r="F1310" s="57"/>
      <c r="G1310" s="57"/>
      <c r="H1310" s="57"/>
      <c r="I1310" s="57"/>
      <c r="J1310" s="57"/>
      <c r="K1310" s="57"/>
      <c r="L1310" s="57"/>
      <c r="M1310" s="57"/>
      <c r="N1310" s="57"/>
      <c r="O1310" s="57"/>
      <c r="P1310" s="60"/>
      <c r="Q1310" s="57"/>
      <c r="R1310" s="57"/>
      <c r="S1310" s="57"/>
      <c r="T1310" s="57"/>
      <c r="U1310" s="57"/>
      <c r="V1310" s="57"/>
      <c r="W1310" s="57"/>
      <c r="X1310" s="57"/>
      <c r="Y1310" s="57"/>
      <c r="Z1310" s="57"/>
      <c r="AA1310" s="57"/>
    </row>
    <row r="1311" spans="1:27">
      <c r="A1311" s="57"/>
      <c r="B1311" s="57"/>
      <c r="C1311" s="60"/>
      <c r="D1311" s="57"/>
      <c r="E1311" s="57"/>
      <c r="F1311" s="57"/>
      <c r="G1311" s="57"/>
      <c r="H1311" s="57"/>
      <c r="I1311" s="57"/>
      <c r="J1311" s="57"/>
      <c r="K1311" s="57"/>
      <c r="L1311" s="57"/>
      <c r="M1311" s="57"/>
      <c r="N1311" s="57"/>
      <c r="O1311" s="57"/>
      <c r="P1311" s="60"/>
      <c r="Q1311" s="57"/>
      <c r="R1311" s="57"/>
      <c r="S1311" s="57"/>
      <c r="T1311" s="57"/>
      <c r="U1311" s="57"/>
      <c r="V1311" s="57"/>
      <c r="W1311" s="57"/>
      <c r="X1311" s="57"/>
      <c r="Y1311" s="57"/>
      <c r="Z1311" s="57"/>
      <c r="AA1311" s="57"/>
    </row>
    <row r="1312" spans="1:27">
      <c r="A1312" s="57"/>
      <c r="B1312" s="57"/>
      <c r="C1312" s="60"/>
      <c r="D1312" s="57"/>
      <c r="E1312" s="57"/>
      <c r="F1312" s="57"/>
      <c r="G1312" s="57"/>
      <c r="H1312" s="57"/>
      <c r="I1312" s="57"/>
      <c r="J1312" s="57"/>
      <c r="K1312" s="57"/>
      <c r="L1312" s="57"/>
      <c r="M1312" s="57"/>
      <c r="N1312" s="57"/>
      <c r="O1312" s="57"/>
      <c r="P1312" s="60"/>
      <c r="Q1312" s="57"/>
      <c r="R1312" s="57"/>
      <c r="S1312" s="57"/>
      <c r="T1312" s="57"/>
      <c r="U1312" s="57"/>
      <c r="V1312" s="57"/>
      <c r="W1312" s="57"/>
      <c r="X1312" s="57"/>
      <c r="Y1312" s="57"/>
      <c r="Z1312" s="57"/>
      <c r="AA1312" s="57"/>
    </row>
    <row r="1313" spans="1:27">
      <c r="A1313" s="57"/>
      <c r="B1313" s="57"/>
      <c r="C1313" s="60"/>
      <c r="D1313" s="57"/>
      <c r="E1313" s="57"/>
      <c r="F1313" s="57"/>
      <c r="G1313" s="57"/>
      <c r="H1313" s="57"/>
      <c r="I1313" s="57"/>
      <c r="J1313" s="57"/>
      <c r="K1313" s="57"/>
      <c r="L1313" s="57"/>
      <c r="M1313" s="57"/>
      <c r="N1313" s="57"/>
      <c r="O1313" s="57"/>
      <c r="P1313" s="60"/>
      <c r="Q1313" s="57"/>
      <c r="R1313" s="57"/>
      <c r="S1313" s="57"/>
      <c r="T1313" s="57"/>
      <c r="U1313" s="57"/>
      <c r="V1313" s="57"/>
      <c r="W1313" s="57"/>
      <c r="X1313" s="57"/>
      <c r="Y1313" s="57"/>
      <c r="Z1313" s="57"/>
      <c r="AA1313" s="57"/>
    </row>
    <row r="1314" spans="1:27">
      <c r="A1314" s="57"/>
      <c r="B1314" s="57"/>
      <c r="C1314" s="60"/>
      <c r="D1314" s="57"/>
      <c r="E1314" s="57"/>
      <c r="F1314" s="57"/>
      <c r="G1314" s="57"/>
      <c r="H1314" s="57"/>
      <c r="I1314" s="57"/>
      <c r="J1314" s="57"/>
      <c r="K1314" s="57"/>
      <c r="L1314" s="57"/>
      <c r="M1314" s="57"/>
      <c r="N1314" s="57"/>
      <c r="O1314" s="57"/>
      <c r="P1314" s="60"/>
      <c r="Q1314" s="57"/>
      <c r="R1314" s="57"/>
      <c r="S1314" s="57"/>
      <c r="T1314" s="57"/>
      <c r="U1314" s="57"/>
      <c r="V1314" s="57"/>
      <c r="W1314" s="57"/>
      <c r="X1314" s="57"/>
      <c r="Y1314" s="57"/>
      <c r="Z1314" s="57"/>
      <c r="AA1314" s="57"/>
    </row>
    <row r="1315" spans="1:27">
      <c r="A1315" s="57"/>
      <c r="B1315" s="57"/>
      <c r="C1315" s="60"/>
      <c r="D1315" s="57"/>
      <c r="E1315" s="57"/>
      <c r="F1315" s="57"/>
      <c r="G1315" s="57"/>
      <c r="H1315" s="57"/>
      <c r="I1315" s="57"/>
      <c r="J1315" s="57"/>
      <c r="K1315" s="57"/>
      <c r="L1315" s="57"/>
      <c r="M1315" s="57"/>
      <c r="N1315" s="57"/>
      <c r="O1315" s="57"/>
      <c r="P1315" s="60"/>
      <c r="Q1315" s="57"/>
      <c r="R1315" s="57"/>
      <c r="S1315" s="57"/>
      <c r="T1315" s="57"/>
      <c r="U1315" s="57"/>
      <c r="V1315" s="57"/>
      <c r="W1315" s="57"/>
      <c r="X1315" s="57"/>
      <c r="Y1315" s="57"/>
      <c r="Z1315" s="57"/>
      <c r="AA1315" s="57"/>
    </row>
    <row r="1316" spans="1:27">
      <c r="A1316" s="57"/>
      <c r="B1316" s="57"/>
      <c r="C1316" s="60"/>
      <c r="D1316" s="57"/>
      <c r="E1316" s="57"/>
      <c r="F1316" s="57"/>
      <c r="G1316" s="57"/>
      <c r="H1316" s="57"/>
      <c r="I1316" s="57"/>
      <c r="J1316" s="57"/>
      <c r="K1316" s="57"/>
      <c r="L1316" s="57"/>
      <c r="M1316" s="57"/>
      <c r="N1316" s="57"/>
      <c r="O1316" s="57"/>
      <c r="P1316" s="60"/>
      <c r="Q1316" s="57"/>
      <c r="R1316" s="57"/>
      <c r="S1316" s="57"/>
      <c r="T1316" s="57"/>
      <c r="U1316" s="57"/>
      <c r="V1316" s="57"/>
      <c r="W1316" s="57"/>
      <c r="X1316" s="57"/>
      <c r="Y1316" s="57"/>
      <c r="Z1316" s="57"/>
      <c r="AA1316" s="57"/>
    </row>
    <row r="1317" spans="1:27">
      <c r="A1317" s="57"/>
      <c r="B1317" s="57"/>
      <c r="C1317" s="60"/>
      <c r="D1317" s="57"/>
      <c r="E1317" s="57"/>
      <c r="F1317" s="57"/>
      <c r="G1317" s="57"/>
      <c r="H1317" s="57"/>
      <c r="I1317" s="57"/>
      <c r="J1317" s="57"/>
      <c r="K1317" s="57"/>
      <c r="L1317" s="57"/>
      <c r="M1317" s="57"/>
      <c r="N1317" s="57"/>
      <c r="O1317" s="57"/>
      <c r="P1317" s="60"/>
      <c r="Q1317" s="57"/>
      <c r="R1317" s="57"/>
      <c r="S1317" s="57"/>
      <c r="T1317" s="57"/>
      <c r="U1317" s="57"/>
      <c r="V1317" s="57"/>
      <c r="W1317" s="57"/>
      <c r="X1317" s="57"/>
      <c r="Y1317" s="57"/>
      <c r="Z1317" s="57"/>
      <c r="AA1317" s="57"/>
    </row>
    <row r="1318" spans="1:27">
      <c r="A1318" s="57"/>
      <c r="B1318" s="57"/>
      <c r="C1318" s="60"/>
      <c r="D1318" s="57"/>
      <c r="E1318" s="57"/>
      <c r="F1318" s="57"/>
      <c r="G1318" s="57"/>
      <c r="H1318" s="57"/>
      <c r="I1318" s="57"/>
      <c r="J1318" s="57"/>
      <c r="K1318" s="57"/>
      <c r="L1318" s="57"/>
      <c r="M1318" s="57"/>
      <c r="N1318" s="57"/>
      <c r="O1318" s="57"/>
      <c r="P1318" s="60"/>
      <c r="Q1318" s="57"/>
      <c r="R1318" s="57"/>
      <c r="S1318" s="57"/>
      <c r="T1318" s="57"/>
      <c r="U1318" s="57"/>
      <c r="V1318" s="57"/>
      <c r="W1318" s="57"/>
      <c r="X1318" s="57"/>
      <c r="Y1318" s="57"/>
      <c r="Z1318" s="57"/>
      <c r="AA1318" s="57"/>
    </row>
    <row r="1319" spans="1:27">
      <c r="A1319" s="57"/>
      <c r="B1319" s="57"/>
      <c r="C1319" s="60"/>
      <c r="D1319" s="57"/>
      <c r="E1319" s="57"/>
      <c r="F1319" s="57"/>
      <c r="G1319" s="57"/>
      <c r="H1319" s="57"/>
      <c r="I1319" s="57"/>
      <c r="J1319" s="57"/>
      <c r="K1319" s="57"/>
      <c r="L1319" s="57"/>
      <c r="M1319" s="57"/>
      <c r="N1319" s="57"/>
      <c r="O1319" s="57"/>
      <c r="P1319" s="60"/>
      <c r="Q1319" s="57"/>
      <c r="R1319" s="57"/>
      <c r="S1319" s="57"/>
      <c r="T1319" s="57"/>
      <c r="U1319" s="57"/>
      <c r="V1319" s="57"/>
      <c r="W1319" s="57"/>
      <c r="X1319" s="57"/>
      <c r="Y1319" s="57"/>
      <c r="Z1319" s="57"/>
      <c r="AA1319" s="57"/>
    </row>
    <row r="1320" spans="1:27">
      <c r="A1320" s="57"/>
      <c r="B1320" s="57"/>
      <c r="C1320" s="60"/>
      <c r="D1320" s="57"/>
      <c r="E1320" s="57"/>
      <c r="F1320" s="57"/>
      <c r="G1320" s="57"/>
      <c r="H1320" s="57"/>
      <c r="I1320" s="57"/>
      <c r="J1320" s="57"/>
      <c r="K1320" s="57"/>
      <c r="L1320" s="57"/>
      <c r="M1320" s="57"/>
      <c r="N1320" s="57"/>
      <c r="O1320" s="57"/>
      <c r="P1320" s="60"/>
      <c r="Q1320" s="57"/>
      <c r="R1320" s="57"/>
      <c r="S1320" s="57"/>
      <c r="T1320" s="57"/>
      <c r="U1320" s="57"/>
      <c r="V1320" s="57"/>
      <c r="W1320" s="57"/>
      <c r="X1320" s="57"/>
      <c r="Y1320" s="57"/>
      <c r="Z1320" s="57"/>
      <c r="AA1320" s="57"/>
    </row>
    <row r="1321" spans="1:27">
      <c r="A1321" s="57"/>
      <c r="B1321" s="57"/>
      <c r="C1321" s="60"/>
      <c r="D1321" s="57"/>
      <c r="E1321" s="57"/>
      <c r="F1321" s="57"/>
      <c r="G1321" s="57"/>
      <c r="H1321" s="57"/>
      <c r="I1321" s="57"/>
      <c r="J1321" s="57"/>
      <c r="K1321" s="57"/>
      <c r="L1321" s="57"/>
      <c r="M1321" s="57"/>
      <c r="N1321" s="57"/>
      <c r="O1321" s="57"/>
      <c r="P1321" s="60"/>
      <c r="Q1321" s="57"/>
      <c r="R1321" s="57"/>
      <c r="S1321" s="57"/>
      <c r="T1321" s="57"/>
      <c r="U1321" s="57"/>
      <c r="V1321" s="57"/>
      <c r="W1321" s="57"/>
      <c r="X1321" s="57"/>
      <c r="Y1321" s="57"/>
      <c r="Z1321" s="57"/>
      <c r="AA1321" s="57"/>
    </row>
    <row r="1322" spans="1:27">
      <c r="A1322" s="57"/>
      <c r="B1322" s="57"/>
      <c r="C1322" s="60"/>
      <c r="D1322" s="57"/>
      <c r="E1322" s="57"/>
      <c r="F1322" s="57"/>
      <c r="G1322" s="57"/>
      <c r="H1322" s="57"/>
      <c r="I1322" s="57"/>
      <c r="J1322" s="57"/>
      <c r="K1322" s="57"/>
      <c r="L1322" s="57"/>
      <c r="M1322" s="57"/>
      <c r="N1322" s="57"/>
      <c r="O1322" s="57"/>
      <c r="P1322" s="60"/>
      <c r="Q1322" s="57"/>
      <c r="R1322" s="57"/>
      <c r="S1322" s="57"/>
      <c r="T1322" s="57"/>
      <c r="U1322" s="57"/>
      <c r="V1322" s="57"/>
      <c r="W1322" s="57"/>
      <c r="X1322" s="57"/>
      <c r="Y1322" s="57"/>
      <c r="Z1322" s="57"/>
      <c r="AA1322" s="57"/>
    </row>
    <row r="1323" spans="1:27">
      <c r="A1323" s="57"/>
      <c r="B1323" s="57"/>
      <c r="C1323" s="60"/>
      <c r="D1323" s="57"/>
      <c r="E1323" s="57"/>
      <c r="F1323" s="57"/>
      <c r="G1323" s="57"/>
      <c r="H1323" s="57"/>
      <c r="I1323" s="57"/>
      <c r="J1323" s="57"/>
      <c r="K1323" s="57"/>
      <c r="L1323" s="57"/>
      <c r="M1323" s="57"/>
      <c r="N1323" s="57"/>
      <c r="O1323" s="57"/>
      <c r="P1323" s="60"/>
      <c r="Q1323" s="57"/>
      <c r="R1323" s="57"/>
      <c r="S1323" s="57"/>
      <c r="T1323" s="57"/>
      <c r="U1323" s="57"/>
      <c r="V1323" s="57"/>
      <c r="W1323" s="57"/>
      <c r="X1323" s="57"/>
      <c r="Y1323" s="57"/>
      <c r="Z1323" s="57"/>
      <c r="AA1323" s="57"/>
    </row>
    <row r="1324" spans="1:27">
      <c r="A1324" s="57"/>
      <c r="B1324" s="57"/>
      <c r="C1324" s="60"/>
      <c r="D1324" s="57"/>
      <c r="E1324" s="57"/>
      <c r="F1324" s="57"/>
      <c r="G1324" s="57"/>
      <c r="H1324" s="57"/>
      <c r="I1324" s="57"/>
      <c r="J1324" s="57"/>
      <c r="K1324" s="57"/>
      <c r="L1324" s="57"/>
      <c r="M1324" s="57"/>
      <c r="N1324" s="57"/>
      <c r="O1324" s="57"/>
      <c r="P1324" s="60"/>
      <c r="Q1324" s="57"/>
      <c r="R1324" s="57"/>
      <c r="S1324" s="57"/>
      <c r="T1324" s="57"/>
      <c r="U1324" s="57"/>
      <c r="V1324" s="57"/>
      <c r="W1324" s="57"/>
      <c r="X1324" s="57"/>
      <c r="Y1324" s="57"/>
      <c r="Z1324" s="57"/>
      <c r="AA1324" s="57"/>
    </row>
    <row r="1325" spans="1:27">
      <c r="A1325" s="57"/>
      <c r="B1325" s="57"/>
      <c r="C1325" s="60"/>
      <c r="D1325" s="57"/>
      <c r="E1325" s="57"/>
      <c r="F1325" s="57"/>
      <c r="G1325" s="57"/>
      <c r="H1325" s="57"/>
      <c r="I1325" s="57"/>
      <c r="J1325" s="57"/>
      <c r="K1325" s="57"/>
      <c r="L1325" s="57"/>
      <c r="M1325" s="57"/>
      <c r="N1325" s="57"/>
      <c r="O1325" s="57"/>
      <c r="P1325" s="60"/>
      <c r="Q1325" s="57"/>
      <c r="R1325" s="57"/>
      <c r="S1325" s="57"/>
      <c r="T1325" s="57"/>
      <c r="U1325" s="57"/>
      <c r="V1325" s="57"/>
      <c r="W1325" s="57"/>
      <c r="X1325" s="57"/>
      <c r="Y1325" s="57"/>
      <c r="Z1325" s="57"/>
      <c r="AA1325" s="57"/>
    </row>
    <row r="1326" spans="1:27">
      <c r="A1326" s="57"/>
      <c r="B1326" s="57"/>
      <c r="C1326" s="60"/>
      <c r="D1326" s="57"/>
      <c r="E1326" s="57"/>
      <c r="F1326" s="57"/>
      <c r="G1326" s="57"/>
      <c r="H1326" s="57"/>
      <c r="I1326" s="57"/>
      <c r="J1326" s="57"/>
      <c r="K1326" s="57"/>
      <c r="L1326" s="57"/>
      <c r="M1326" s="57"/>
      <c r="N1326" s="57"/>
      <c r="O1326" s="57"/>
      <c r="P1326" s="60"/>
      <c r="Q1326" s="57"/>
      <c r="R1326" s="57"/>
      <c r="S1326" s="57"/>
      <c r="T1326" s="57"/>
      <c r="U1326" s="57"/>
      <c r="V1326" s="57"/>
      <c r="W1326" s="57"/>
      <c r="X1326" s="57"/>
      <c r="Y1326" s="57"/>
      <c r="Z1326" s="57"/>
      <c r="AA1326" s="57"/>
    </row>
    <row r="1327" spans="1:27">
      <c r="A1327" s="57"/>
      <c r="B1327" s="57"/>
      <c r="C1327" s="60"/>
      <c r="D1327" s="57"/>
      <c r="E1327" s="57"/>
      <c r="F1327" s="57"/>
      <c r="G1327" s="57"/>
      <c r="H1327" s="57"/>
      <c r="I1327" s="57"/>
      <c r="J1327" s="57"/>
      <c r="K1327" s="57"/>
      <c r="L1327" s="57"/>
      <c r="M1327" s="57"/>
      <c r="N1327" s="57"/>
      <c r="O1327" s="57"/>
      <c r="P1327" s="60"/>
      <c r="Q1327" s="57"/>
      <c r="R1327" s="57"/>
      <c r="S1327" s="57"/>
      <c r="T1327" s="57"/>
      <c r="U1327" s="57"/>
      <c r="V1327" s="57"/>
      <c r="W1327" s="57"/>
      <c r="X1327" s="57"/>
      <c r="Y1327" s="57"/>
      <c r="Z1327" s="57"/>
      <c r="AA1327" s="57"/>
    </row>
    <row r="1328" spans="1:27">
      <c r="A1328" s="57"/>
      <c r="B1328" s="57"/>
      <c r="C1328" s="60"/>
      <c r="D1328" s="57"/>
      <c r="E1328" s="57"/>
      <c r="F1328" s="57"/>
      <c r="G1328" s="57"/>
      <c r="H1328" s="57"/>
      <c r="I1328" s="57"/>
      <c r="J1328" s="57"/>
      <c r="K1328" s="57"/>
      <c r="L1328" s="57"/>
      <c r="M1328" s="57"/>
      <c r="N1328" s="57"/>
      <c r="O1328" s="57"/>
      <c r="P1328" s="60"/>
      <c r="Q1328" s="57"/>
      <c r="R1328" s="57"/>
      <c r="S1328" s="57"/>
      <c r="T1328" s="57"/>
      <c r="U1328" s="57"/>
      <c r="V1328" s="57"/>
      <c r="W1328" s="57"/>
      <c r="X1328" s="57"/>
      <c r="Y1328" s="57"/>
      <c r="Z1328" s="57"/>
      <c r="AA1328" s="57"/>
    </row>
    <row r="1329" spans="1:27">
      <c r="A1329" s="57"/>
      <c r="B1329" s="57"/>
      <c r="C1329" s="60"/>
      <c r="D1329" s="57"/>
      <c r="E1329" s="57"/>
      <c r="F1329" s="57"/>
      <c r="G1329" s="57"/>
      <c r="H1329" s="57"/>
      <c r="I1329" s="57"/>
      <c r="J1329" s="57"/>
      <c r="K1329" s="57"/>
      <c r="L1329" s="57"/>
      <c r="M1329" s="57"/>
      <c r="N1329" s="57"/>
      <c r="O1329" s="57"/>
      <c r="P1329" s="60"/>
      <c r="Q1329" s="57"/>
      <c r="R1329" s="57"/>
      <c r="S1329" s="57"/>
      <c r="T1329" s="57"/>
      <c r="U1329" s="57"/>
      <c r="V1329" s="57"/>
      <c r="W1329" s="57"/>
      <c r="X1329" s="57"/>
      <c r="Y1329" s="57"/>
      <c r="Z1329" s="57"/>
      <c r="AA1329" s="57"/>
    </row>
    <row r="1330" spans="1:27">
      <c r="A1330" s="57"/>
      <c r="B1330" s="57"/>
      <c r="C1330" s="60"/>
      <c r="D1330" s="57"/>
      <c r="E1330" s="57"/>
      <c r="F1330" s="57"/>
      <c r="G1330" s="57"/>
      <c r="H1330" s="57"/>
      <c r="I1330" s="57"/>
      <c r="J1330" s="57"/>
      <c r="K1330" s="57"/>
      <c r="L1330" s="57"/>
      <c r="M1330" s="57"/>
      <c r="N1330" s="57"/>
      <c r="O1330" s="57"/>
      <c r="P1330" s="60"/>
      <c r="Q1330" s="57"/>
      <c r="R1330" s="57"/>
      <c r="S1330" s="57"/>
      <c r="T1330" s="57"/>
      <c r="U1330" s="57"/>
      <c r="V1330" s="57"/>
      <c r="W1330" s="57"/>
      <c r="X1330" s="57"/>
      <c r="Y1330" s="57"/>
      <c r="Z1330" s="57"/>
      <c r="AA1330" s="57"/>
    </row>
    <row r="1331" spans="1:27">
      <c r="A1331" s="57"/>
      <c r="B1331" s="57"/>
      <c r="C1331" s="60"/>
      <c r="D1331" s="57"/>
      <c r="E1331" s="57"/>
      <c r="F1331" s="57"/>
      <c r="G1331" s="57"/>
      <c r="H1331" s="57"/>
      <c r="I1331" s="57"/>
      <c r="J1331" s="57"/>
      <c r="K1331" s="57"/>
      <c r="L1331" s="57"/>
      <c r="M1331" s="57"/>
      <c r="N1331" s="57"/>
      <c r="O1331" s="57"/>
      <c r="P1331" s="60"/>
      <c r="Q1331" s="57"/>
      <c r="R1331" s="57"/>
      <c r="S1331" s="57"/>
      <c r="T1331" s="57"/>
      <c r="U1331" s="57"/>
      <c r="V1331" s="57"/>
      <c r="W1331" s="57"/>
      <c r="X1331" s="57"/>
      <c r="Y1331" s="57"/>
      <c r="Z1331" s="57"/>
      <c r="AA1331" s="57"/>
    </row>
    <row r="1332" spans="1:27">
      <c r="A1332" s="57"/>
      <c r="B1332" s="57"/>
      <c r="C1332" s="60"/>
      <c r="D1332" s="57"/>
      <c r="E1332" s="57"/>
      <c r="F1332" s="57"/>
      <c r="G1332" s="57"/>
      <c r="H1332" s="57"/>
      <c r="I1332" s="57"/>
      <c r="J1332" s="57"/>
      <c r="K1332" s="57"/>
      <c r="L1332" s="57"/>
      <c r="M1332" s="57"/>
      <c r="N1332" s="57"/>
      <c r="O1332" s="57"/>
      <c r="P1332" s="60"/>
      <c r="Q1332" s="57"/>
      <c r="R1332" s="57"/>
      <c r="S1332" s="57"/>
      <c r="T1332" s="57"/>
      <c r="U1332" s="57"/>
      <c r="V1332" s="57"/>
      <c r="W1332" s="57"/>
      <c r="X1332" s="57"/>
      <c r="Y1332" s="57"/>
      <c r="Z1332" s="57"/>
      <c r="AA1332" s="57"/>
    </row>
    <row r="1333" spans="1:27">
      <c r="A1333" s="57"/>
      <c r="B1333" s="57"/>
      <c r="C1333" s="60"/>
      <c r="D1333" s="57"/>
      <c r="E1333" s="57"/>
      <c r="F1333" s="57"/>
      <c r="G1333" s="57"/>
      <c r="H1333" s="57"/>
      <c r="I1333" s="57"/>
      <c r="J1333" s="57"/>
      <c r="K1333" s="57"/>
      <c r="L1333" s="57"/>
      <c r="M1333" s="57"/>
      <c r="N1333" s="57"/>
      <c r="O1333" s="57"/>
      <c r="P1333" s="60"/>
      <c r="Q1333" s="57"/>
      <c r="R1333" s="57"/>
      <c r="S1333" s="57"/>
      <c r="T1333" s="57"/>
      <c r="U1333" s="57"/>
      <c r="V1333" s="57"/>
      <c r="W1333" s="57"/>
      <c r="X1333" s="57"/>
      <c r="Y1333" s="57"/>
      <c r="Z1333" s="57"/>
      <c r="AA1333" s="57"/>
    </row>
    <row r="1334" spans="1:27">
      <c r="A1334" s="57"/>
      <c r="B1334" s="57"/>
      <c r="C1334" s="60"/>
      <c r="D1334" s="57"/>
      <c r="E1334" s="57"/>
      <c r="F1334" s="57"/>
      <c r="G1334" s="57"/>
      <c r="H1334" s="57"/>
      <c r="I1334" s="57"/>
      <c r="J1334" s="57"/>
      <c r="K1334" s="57"/>
      <c r="L1334" s="57"/>
      <c r="M1334" s="57"/>
      <c r="N1334" s="57"/>
      <c r="O1334" s="57"/>
      <c r="P1334" s="60"/>
      <c r="Q1334" s="57"/>
      <c r="R1334" s="57"/>
      <c r="S1334" s="57"/>
      <c r="T1334" s="57"/>
      <c r="U1334" s="57"/>
      <c r="V1334" s="57"/>
      <c r="W1334" s="57"/>
      <c r="X1334" s="57"/>
      <c r="Y1334" s="57"/>
      <c r="Z1334" s="57"/>
      <c r="AA1334" s="57"/>
    </row>
    <row r="1335" spans="1:27">
      <c r="A1335" s="57"/>
      <c r="B1335" s="57"/>
      <c r="C1335" s="60"/>
      <c r="D1335" s="57"/>
      <c r="E1335" s="57"/>
      <c r="F1335" s="57"/>
      <c r="G1335" s="57"/>
      <c r="H1335" s="57"/>
      <c r="I1335" s="57"/>
      <c r="J1335" s="57"/>
      <c r="K1335" s="57"/>
      <c r="L1335" s="57"/>
      <c r="M1335" s="57"/>
      <c r="N1335" s="57"/>
      <c r="O1335" s="57"/>
      <c r="P1335" s="60"/>
      <c r="Q1335" s="57"/>
      <c r="R1335" s="57"/>
      <c r="S1335" s="57"/>
      <c r="T1335" s="57"/>
      <c r="U1335" s="57"/>
      <c r="V1335" s="57"/>
      <c r="W1335" s="57"/>
      <c r="X1335" s="57"/>
      <c r="Y1335" s="57"/>
      <c r="Z1335" s="57"/>
      <c r="AA1335" s="57"/>
    </row>
    <row r="1336" spans="1:27">
      <c r="A1336" s="57"/>
      <c r="B1336" s="57"/>
      <c r="C1336" s="60"/>
      <c r="D1336" s="57"/>
      <c r="E1336" s="57"/>
      <c r="F1336" s="57"/>
      <c r="G1336" s="57"/>
      <c r="H1336" s="57"/>
      <c r="I1336" s="57"/>
      <c r="J1336" s="57"/>
      <c r="K1336" s="57"/>
      <c r="L1336" s="57"/>
      <c r="M1336" s="57"/>
      <c r="N1336" s="57"/>
      <c r="O1336" s="57"/>
      <c r="P1336" s="60"/>
      <c r="Q1336" s="57"/>
      <c r="R1336" s="57"/>
      <c r="S1336" s="57"/>
      <c r="T1336" s="57"/>
      <c r="U1336" s="57"/>
      <c r="V1336" s="57"/>
      <c r="W1336" s="57"/>
      <c r="X1336" s="57"/>
      <c r="Y1336" s="57"/>
      <c r="Z1336" s="57"/>
      <c r="AA1336" s="57"/>
    </row>
    <row r="1337" spans="1:27">
      <c r="A1337" s="57"/>
      <c r="B1337" s="57"/>
      <c r="C1337" s="60"/>
      <c r="D1337" s="57"/>
      <c r="E1337" s="57"/>
      <c r="F1337" s="57"/>
      <c r="G1337" s="57"/>
      <c r="H1337" s="57"/>
      <c r="I1337" s="57"/>
      <c r="J1337" s="57"/>
      <c r="K1337" s="57"/>
      <c r="L1337" s="57"/>
      <c r="M1337" s="57"/>
      <c r="N1337" s="57"/>
      <c r="O1337" s="57"/>
      <c r="P1337" s="60"/>
      <c r="Q1337" s="57"/>
      <c r="R1337" s="57"/>
      <c r="S1337" s="57"/>
      <c r="T1337" s="57"/>
      <c r="U1337" s="57"/>
      <c r="V1337" s="57"/>
      <c r="W1337" s="57"/>
      <c r="X1337" s="57"/>
      <c r="Y1337" s="57"/>
      <c r="Z1337" s="57"/>
      <c r="AA1337" s="57"/>
    </row>
    <row r="1338" spans="1:27">
      <c r="A1338" s="57"/>
      <c r="B1338" s="57"/>
      <c r="C1338" s="60"/>
      <c r="D1338" s="57"/>
      <c r="E1338" s="57"/>
      <c r="F1338" s="57"/>
      <c r="G1338" s="57"/>
      <c r="H1338" s="57"/>
      <c r="I1338" s="57"/>
      <c r="J1338" s="57"/>
      <c r="K1338" s="57"/>
      <c r="L1338" s="57"/>
      <c r="M1338" s="57"/>
      <c r="N1338" s="57"/>
      <c r="O1338" s="57"/>
      <c r="P1338" s="60"/>
      <c r="Q1338" s="57"/>
      <c r="R1338" s="57"/>
      <c r="S1338" s="57"/>
      <c r="T1338" s="57"/>
      <c r="U1338" s="57"/>
      <c r="V1338" s="57"/>
      <c r="W1338" s="57"/>
      <c r="X1338" s="57"/>
      <c r="Y1338" s="57"/>
      <c r="Z1338" s="57"/>
      <c r="AA1338" s="57"/>
    </row>
    <row r="1339" spans="1:27">
      <c r="A1339" s="57"/>
      <c r="B1339" s="57"/>
      <c r="C1339" s="60"/>
      <c r="D1339" s="57"/>
      <c r="E1339" s="57"/>
      <c r="F1339" s="57"/>
      <c r="G1339" s="57"/>
      <c r="H1339" s="57"/>
      <c r="I1339" s="57"/>
      <c r="J1339" s="57"/>
      <c r="K1339" s="57"/>
      <c r="L1339" s="57"/>
      <c r="M1339" s="57"/>
      <c r="N1339" s="57"/>
      <c r="O1339" s="57"/>
      <c r="P1339" s="60"/>
      <c r="Q1339" s="57"/>
      <c r="R1339" s="57"/>
      <c r="S1339" s="57"/>
      <c r="T1339" s="57"/>
      <c r="U1339" s="57"/>
      <c r="V1339" s="57"/>
      <c r="W1339" s="57"/>
      <c r="X1339" s="57"/>
      <c r="Y1339" s="57"/>
      <c r="Z1339" s="57"/>
      <c r="AA1339" s="57"/>
    </row>
    <row r="1340" spans="1:27">
      <c r="A1340" s="57"/>
      <c r="B1340" s="57"/>
      <c r="C1340" s="60"/>
      <c r="D1340" s="57"/>
      <c r="E1340" s="57"/>
      <c r="F1340" s="57"/>
      <c r="G1340" s="57"/>
      <c r="H1340" s="57"/>
      <c r="I1340" s="57"/>
      <c r="J1340" s="57"/>
      <c r="K1340" s="57"/>
      <c r="L1340" s="57"/>
      <c r="M1340" s="57"/>
      <c r="N1340" s="57"/>
      <c r="O1340" s="57"/>
      <c r="P1340" s="60"/>
      <c r="Q1340" s="57"/>
      <c r="R1340" s="57"/>
      <c r="S1340" s="57"/>
      <c r="T1340" s="57"/>
      <c r="U1340" s="57"/>
      <c r="V1340" s="57"/>
      <c r="W1340" s="57"/>
      <c r="X1340" s="57"/>
      <c r="Y1340" s="57"/>
      <c r="Z1340" s="57"/>
      <c r="AA1340" s="57"/>
    </row>
    <row r="1341" spans="1:27">
      <c r="A1341" s="57"/>
      <c r="B1341" s="57"/>
      <c r="C1341" s="60"/>
      <c r="D1341" s="57"/>
      <c r="E1341" s="57"/>
      <c r="F1341" s="57"/>
      <c r="G1341" s="57"/>
      <c r="H1341" s="57"/>
      <c r="I1341" s="57"/>
      <c r="J1341" s="57"/>
      <c r="K1341" s="57"/>
      <c r="L1341" s="57"/>
      <c r="M1341" s="57"/>
      <c r="N1341" s="57"/>
      <c r="O1341" s="57"/>
      <c r="P1341" s="60"/>
      <c r="Q1341" s="57"/>
      <c r="R1341" s="57"/>
      <c r="S1341" s="57"/>
      <c r="T1341" s="57"/>
      <c r="U1341" s="57"/>
      <c r="V1341" s="57"/>
      <c r="W1341" s="57"/>
      <c r="X1341" s="57"/>
      <c r="Y1341" s="57"/>
      <c r="Z1341" s="57"/>
      <c r="AA1341" s="57"/>
    </row>
    <row r="1342" spans="1:27">
      <c r="A1342" s="57"/>
      <c r="B1342" s="57"/>
      <c r="C1342" s="60"/>
      <c r="D1342" s="57"/>
      <c r="E1342" s="57"/>
      <c r="F1342" s="57"/>
      <c r="G1342" s="57"/>
      <c r="H1342" s="57"/>
      <c r="I1342" s="57"/>
      <c r="J1342" s="57"/>
      <c r="K1342" s="57"/>
      <c r="L1342" s="57"/>
      <c r="M1342" s="57"/>
      <c r="N1342" s="57"/>
      <c r="O1342" s="57"/>
      <c r="P1342" s="60"/>
      <c r="Q1342" s="57"/>
      <c r="R1342" s="57"/>
      <c r="S1342" s="57"/>
      <c r="T1342" s="57"/>
      <c r="U1342" s="57"/>
      <c r="V1342" s="57"/>
      <c r="W1342" s="57"/>
      <c r="X1342" s="57"/>
      <c r="Y1342" s="57"/>
      <c r="Z1342" s="57"/>
      <c r="AA1342" s="57"/>
    </row>
  </sheetData>
  <sheetProtection algorithmName="SHA-512" hashValue="hvYXs6C1PlHgUxsEjOJfSxdweZi+k9IaTe2Rw/4Si3bfDn71VrEf4RhWmCwVKsNZinHIBiEYH+9tet2RVehR6A==" saltValue="vmIwTxr1BGW5GBsV+ufhYA==" spinCount="100000" sheet="1" objects="1" scenarios="1" formatCells="0" formatRows="0" selectLockedCells="1"/>
  <mergeCells count="3012">
    <mergeCell ref="D1005:F1005"/>
    <mergeCell ref="G1005:I1005"/>
    <mergeCell ref="J1005:M1005"/>
    <mergeCell ref="D1006:M1006"/>
    <mergeCell ref="D1003:F1003"/>
    <mergeCell ref="G1003:I1003"/>
    <mergeCell ref="J1003:M1003"/>
    <mergeCell ref="D1004:F1004"/>
    <mergeCell ref="G1004:I1004"/>
    <mergeCell ref="J1004:M1004"/>
    <mergeCell ref="D1001:F1001"/>
    <mergeCell ref="G1001:I1001"/>
    <mergeCell ref="J1001:M1001"/>
    <mergeCell ref="D1002:F1002"/>
    <mergeCell ref="G1002:I1002"/>
    <mergeCell ref="J1002:M1002"/>
    <mergeCell ref="D999:F999"/>
    <mergeCell ref="G999:I999"/>
    <mergeCell ref="J999:M999"/>
    <mergeCell ref="D1000:F1000"/>
    <mergeCell ref="G1000:I1000"/>
    <mergeCell ref="J1000:M1000"/>
    <mergeCell ref="D997:F997"/>
    <mergeCell ref="G997:I997"/>
    <mergeCell ref="J997:M997"/>
    <mergeCell ref="D998:F998"/>
    <mergeCell ref="G998:I998"/>
    <mergeCell ref="J998:M998"/>
    <mergeCell ref="D995:F995"/>
    <mergeCell ref="G995:I995"/>
    <mergeCell ref="J995:M995"/>
    <mergeCell ref="D996:F996"/>
    <mergeCell ref="G996:I996"/>
    <mergeCell ref="J996:M996"/>
    <mergeCell ref="D993:F993"/>
    <mergeCell ref="G993:I993"/>
    <mergeCell ref="J993:M993"/>
    <mergeCell ref="D994:F994"/>
    <mergeCell ref="G994:I994"/>
    <mergeCell ref="J994:M994"/>
    <mergeCell ref="D991:F991"/>
    <mergeCell ref="G991:I991"/>
    <mergeCell ref="J991:M991"/>
    <mergeCell ref="D992:F992"/>
    <mergeCell ref="G992:I992"/>
    <mergeCell ref="J992:M992"/>
    <mergeCell ref="D989:F989"/>
    <mergeCell ref="G989:I989"/>
    <mergeCell ref="J989:M989"/>
    <mergeCell ref="D990:F990"/>
    <mergeCell ref="G990:I990"/>
    <mergeCell ref="J990:M990"/>
    <mergeCell ref="D987:F987"/>
    <mergeCell ref="G987:I987"/>
    <mergeCell ref="J987:M987"/>
    <mergeCell ref="D988:F988"/>
    <mergeCell ref="G988:I988"/>
    <mergeCell ref="J988:M988"/>
    <mergeCell ref="D985:F985"/>
    <mergeCell ref="G985:I985"/>
    <mergeCell ref="J985:M985"/>
    <mergeCell ref="D986:F986"/>
    <mergeCell ref="G986:I986"/>
    <mergeCell ref="J986:M986"/>
    <mergeCell ref="D983:F983"/>
    <mergeCell ref="G983:I983"/>
    <mergeCell ref="J983:M983"/>
    <mergeCell ref="D984:F984"/>
    <mergeCell ref="G984:I984"/>
    <mergeCell ref="J984:M984"/>
    <mergeCell ref="D981:F981"/>
    <mergeCell ref="G981:I981"/>
    <mergeCell ref="J981:M981"/>
    <mergeCell ref="D982:F982"/>
    <mergeCell ref="G982:I982"/>
    <mergeCell ref="J982:M982"/>
    <mergeCell ref="D979:F979"/>
    <mergeCell ref="G979:I979"/>
    <mergeCell ref="J979:M979"/>
    <mergeCell ref="D980:F980"/>
    <mergeCell ref="G980:I980"/>
    <mergeCell ref="J980:M980"/>
    <mergeCell ref="D977:F977"/>
    <mergeCell ref="G977:I977"/>
    <mergeCell ref="J977:M977"/>
    <mergeCell ref="D978:F978"/>
    <mergeCell ref="G978:I978"/>
    <mergeCell ref="J978:M978"/>
    <mergeCell ref="D975:F975"/>
    <mergeCell ref="G975:I975"/>
    <mergeCell ref="J975:M975"/>
    <mergeCell ref="D976:F976"/>
    <mergeCell ref="G976:I976"/>
    <mergeCell ref="J976:M976"/>
    <mergeCell ref="D973:F973"/>
    <mergeCell ref="G973:I973"/>
    <mergeCell ref="J973:M973"/>
    <mergeCell ref="D974:F974"/>
    <mergeCell ref="G974:I974"/>
    <mergeCell ref="J974:M974"/>
    <mergeCell ref="D971:F971"/>
    <mergeCell ref="G971:I971"/>
    <mergeCell ref="J971:M971"/>
    <mergeCell ref="D972:F972"/>
    <mergeCell ref="G972:I972"/>
    <mergeCell ref="J972:M972"/>
    <mergeCell ref="D969:F969"/>
    <mergeCell ref="G969:I969"/>
    <mergeCell ref="J969:M969"/>
    <mergeCell ref="D970:F970"/>
    <mergeCell ref="G970:I970"/>
    <mergeCell ref="J970:M970"/>
    <mergeCell ref="D967:F967"/>
    <mergeCell ref="G967:I967"/>
    <mergeCell ref="J967:M967"/>
    <mergeCell ref="D968:F968"/>
    <mergeCell ref="G968:I968"/>
    <mergeCell ref="J968:M968"/>
    <mergeCell ref="D965:F965"/>
    <mergeCell ref="G965:I965"/>
    <mergeCell ref="J965:M965"/>
    <mergeCell ref="D966:F966"/>
    <mergeCell ref="G966:I966"/>
    <mergeCell ref="J966:M966"/>
    <mergeCell ref="D963:F963"/>
    <mergeCell ref="G963:I963"/>
    <mergeCell ref="J963:M963"/>
    <mergeCell ref="D964:F964"/>
    <mergeCell ref="G964:I964"/>
    <mergeCell ref="J964:M964"/>
    <mergeCell ref="D961:F961"/>
    <mergeCell ref="G961:I961"/>
    <mergeCell ref="J961:M961"/>
    <mergeCell ref="D962:F962"/>
    <mergeCell ref="G962:I962"/>
    <mergeCell ref="J962:M962"/>
    <mergeCell ref="D959:F959"/>
    <mergeCell ref="G959:I959"/>
    <mergeCell ref="J959:M959"/>
    <mergeCell ref="D960:F960"/>
    <mergeCell ref="G960:I960"/>
    <mergeCell ref="J960:M960"/>
    <mergeCell ref="D957:F957"/>
    <mergeCell ref="G957:I957"/>
    <mergeCell ref="J957:M957"/>
    <mergeCell ref="D958:F958"/>
    <mergeCell ref="G958:I958"/>
    <mergeCell ref="J958:M958"/>
    <mergeCell ref="D955:F955"/>
    <mergeCell ref="G955:I955"/>
    <mergeCell ref="J955:M955"/>
    <mergeCell ref="D956:F956"/>
    <mergeCell ref="G956:I956"/>
    <mergeCell ref="J956:M956"/>
    <mergeCell ref="D953:F953"/>
    <mergeCell ref="G953:I953"/>
    <mergeCell ref="J953:M953"/>
    <mergeCell ref="D954:F954"/>
    <mergeCell ref="G954:I954"/>
    <mergeCell ref="J954:M954"/>
    <mergeCell ref="D951:F951"/>
    <mergeCell ref="G951:I951"/>
    <mergeCell ref="J951:M951"/>
    <mergeCell ref="D952:F952"/>
    <mergeCell ref="G952:I952"/>
    <mergeCell ref="J952:M952"/>
    <mergeCell ref="D949:F949"/>
    <mergeCell ref="G949:I949"/>
    <mergeCell ref="J949:M949"/>
    <mergeCell ref="D950:F950"/>
    <mergeCell ref="G950:I950"/>
    <mergeCell ref="J950:M950"/>
    <mergeCell ref="D947:F947"/>
    <mergeCell ref="G947:I947"/>
    <mergeCell ref="J947:M947"/>
    <mergeCell ref="D948:F948"/>
    <mergeCell ref="G948:I948"/>
    <mergeCell ref="J948:M948"/>
    <mergeCell ref="D945:F945"/>
    <mergeCell ref="G945:I945"/>
    <mergeCell ref="J945:M945"/>
    <mergeCell ref="D946:F946"/>
    <mergeCell ref="G946:I946"/>
    <mergeCell ref="J946:M946"/>
    <mergeCell ref="D943:F943"/>
    <mergeCell ref="G943:I943"/>
    <mergeCell ref="J943:M943"/>
    <mergeCell ref="D944:F944"/>
    <mergeCell ref="G944:I944"/>
    <mergeCell ref="J944:M944"/>
    <mergeCell ref="D941:F941"/>
    <mergeCell ref="G941:I941"/>
    <mergeCell ref="J941:M941"/>
    <mergeCell ref="D942:F942"/>
    <mergeCell ref="G942:I942"/>
    <mergeCell ref="J942:M942"/>
    <mergeCell ref="D939:F939"/>
    <mergeCell ref="G939:I939"/>
    <mergeCell ref="J939:M939"/>
    <mergeCell ref="D940:F940"/>
    <mergeCell ref="G940:I940"/>
    <mergeCell ref="J940:M940"/>
    <mergeCell ref="D937:F937"/>
    <mergeCell ref="G937:I937"/>
    <mergeCell ref="J937:M937"/>
    <mergeCell ref="D938:F938"/>
    <mergeCell ref="G938:I938"/>
    <mergeCell ref="J938:M938"/>
    <mergeCell ref="D935:F935"/>
    <mergeCell ref="G935:I935"/>
    <mergeCell ref="J935:M935"/>
    <mergeCell ref="D936:F936"/>
    <mergeCell ref="G936:I936"/>
    <mergeCell ref="J936:M936"/>
    <mergeCell ref="D933:F933"/>
    <mergeCell ref="G933:I933"/>
    <mergeCell ref="J933:M933"/>
    <mergeCell ref="D934:F934"/>
    <mergeCell ref="G934:I934"/>
    <mergeCell ref="J934:M934"/>
    <mergeCell ref="D931:F931"/>
    <mergeCell ref="G931:I931"/>
    <mergeCell ref="J931:M931"/>
    <mergeCell ref="D932:F932"/>
    <mergeCell ref="G932:I932"/>
    <mergeCell ref="J932:M932"/>
    <mergeCell ref="D929:F929"/>
    <mergeCell ref="G929:I929"/>
    <mergeCell ref="J929:M929"/>
    <mergeCell ref="D930:F930"/>
    <mergeCell ref="G930:I930"/>
    <mergeCell ref="J930:M930"/>
    <mergeCell ref="D927:F927"/>
    <mergeCell ref="G927:I927"/>
    <mergeCell ref="J927:M927"/>
    <mergeCell ref="D928:F928"/>
    <mergeCell ref="G928:I928"/>
    <mergeCell ref="J928:M928"/>
    <mergeCell ref="D925:F925"/>
    <mergeCell ref="G925:I925"/>
    <mergeCell ref="J925:M925"/>
    <mergeCell ref="D926:F926"/>
    <mergeCell ref="G926:I926"/>
    <mergeCell ref="J926:M926"/>
    <mergeCell ref="D923:F923"/>
    <mergeCell ref="G923:I923"/>
    <mergeCell ref="J923:M923"/>
    <mergeCell ref="D924:F924"/>
    <mergeCell ref="G924:I924"/>
    <mergeCell ref="J924:M924"/>
    <mergeCell ref="D921:F921"/>
    <mergeCell ref="G921:I921"/>
    <mergeCell ref="J921:M921"/>
    <mergeCell ref="D922:F922"/>
    <mergeCell ref="G922:I922"/>
    <mergeCell ref="J922:M922"/>
    <mergeCell ref="D919:F919"/>
    <mergeCell ref="G919:I919"/>
    <mergeCell ref="J919:M919"/>
    <mergeCell ref="D920:F920"/>
    <mergeCell ref="G920:I920"/>
    <mergeCell ref="J920:M920"/>
    <mergeCell ref="D917:F917"/>
    <mergeCell ref="G917:I917"/>
    <mergeCell ref="J917:M917"/>
    <mergeCell ref="D918:F918"/>
    <mergeCell ref="G918:I918"/>
    <mergeCell ref="J918:M918"/>
    <mergeCell ref="D915:F915"/>
    <mergeCell ref="G915:I915"/>
    <mergeCell ref="J915:M915"/>
    <mergeCell ref="D916:F916"/>
    <mergeCell ref="G916:I916"/>
    <mergeCell ref="J916:M916"/>
    <mergeCell ref="D913:F913"/>
    <mergeCell ref="G913:I913"/>
    <mergeCell ref="J913:M913"/>
    <mergeCell ref="D914:F914"/>
    <mergeCell ref="G914:I914"/>
    <mergeCell ref="J914:M914"/>
    <mergeCell ref="D911:F911"/>
    <mergeCell ref="G911:I911"/>
    <mergeCell ref="J911:M911"/>
    <mergeCell ref="D912:F912"/>
    <mergeCell ref="G912:I912"/>
    <mergeCell ref="J912:M912"/>
    <mergeCell ref="D909:F909"/>
    <mergeCell ref="G909:I909"/>
    <mergeCell ref="J909:M909"/>
    <mergeCell ref="D910:F910"/>
    <mergeCell ref="G910:I910"/>
    <mergeCell ref="J910:M910"/>
    <mergeCell ref="D907:F907"/>
    <mergeCell ref="G907:I907"/>
    <mergeCell ref="J907:M907"/>
    <mergeCell ref="D908:F908"/>
    <mergeCell ref="G908:I908"/>
    <mergeCell ref="J908:M908"/>
    <mergeCell ref="D905:F905"/>
    <mergeCell ref="G905:I905"/>
    <mergeCell ref="J905:M905"/>
    <mergeCell ref="D906:F906"/>
    <mergeCell ref="G906:I906"/>
    <mergeCell ref="J906:M906"/>
    <mergeCell ref="D903:F903"/>
    <mergeCell ref="G903:I903"/>
    <mergeCell ref="J903:M903"/>
    <mergeCell ref="D904:F904"/>
    <mergeCell ref="G904:I904"/>
    <mergeCell ref="J904:M904"/>
    <mergeCell ref="D901:F901"/>
    <mergeCell ref="G901:I901"/>
    <mergeCell ref="J901:M901"/>
    <mergeCell ref="D902:F902"/>
    <mergeCell ref="G902:I902"/>
    <mergeCell ref="J902:M902"/>
    <mergeCell ref="D899:F899"/>
    <mergeCell ref="G899:I899"/>
    <mergeCell ref="J899:M899"/>
    <mergeCell ref="D900:F900"/>
    <mergeCell ref="G900:I900"/>
    <mergeCell ref="J900:M900"/>
    <mergeCell ref="D897:F897"/>
    <mergeCell ref="G897:I897"/>
    <mergeCell ref="J897:M897"/>
    <mergeCell ref="D898:F898"/>
    <mergeCell ref="G898:I898"/>
    <mergeCell ref="J898:M898"/>
    <mergeCell ref="D895:F895"/>
    <mergeCell ref="G895:I895"/>
    <mergeCell ref="J895:M895"/>
    <mergeCell ref="D896:F896"/>
    <mergeCell ref="G896:I896"/>
    <mergeCell ref="J896:M896"/>
    <mergeCell ref="D893:F893"/>
    <mergeCell ref="G893:I893"/>
    <mergeCell ref="J893:M893"/>
    <mergeCell ref="D894:F894"/>
    <mergeCell ref="G894:I894"/>
    <mergeCell ref="J894:M894"/>
    <mergeCell ref="D891:F891"/>
    <mergeCell ref="G891:I891"/>
    <mergeCell ref="J891:M891"/>
    <mergeCell ref="D892:F892"/>
    <mergeCell ref="G892:I892"/>
    <mergeCell ref="J892:M892"/>
    <mergeCell ref="D889:F889"/>
    <mergeCell ref="G889:I889"/>
    <mergeCell ref="J889:M889"/>
    <mergeCell ref="D890:F890"/>
    <mergeCell ref="G890:I890"/>
    <mergeCell ref="J890:M890"/>
    <mergeCell ref="D887:F887"/>
    <mergeCell ref="G887:I887"/>
    <mergeCell ref="J887:M887"/>
    <mergeCell ref="D888:F888"/>
    <mergeCell ref="G888:I888"/>
    <mergeCell ref="J888:M888"/>
    <mergeCell ref="D885:F885"/>
    <mergeCell ref="G885:I885"/>
    <mergeCell ref="J885:M885"/>
    <mergeCell ref="D886:F886"/>
    <mergeCell ref="G886:I886"/>
    <mergeCell ref="J886:M886"/>
    <mergeCell ref="D883:F883"/>
    <mergeCell ref="G883:I883"/>
    <mergeCell ref="J883:M883"/>
    <mergeCell ref="D884:F884"/>
    <mergeCell ref="G884:I884"/>
    <mergeCell ref="J884:M884"/>
    <mergeCell ref="D881:F881"/>
    <mergeCell ref="G881:I881"/>
    <mergeCell ref="J881:M881"/>
    <mergeCell ref="D882:F882"/>
    <mergeCell ref="G882:I882"/>
    <mergeCell ref="J882:M882"/>
    <mergeCell ref="D879:F879"/>
    <mergeCell ref="G879:I879"/>
    <mergeCell ref="J879:M879"/>
    <mergeCell ref="D880:F880"/>
    <mergeCell ref="G880:I880"/>
    <mergeCell ref="J880:M880"/>
    <mergeCell ref="D877:F877"/>
    <mergeCell ref="G877:I877"/>
    <mergeCell ref="J877:M877"/>
    <mergeCell ref="D878:F878"/>
    <mergeCell ref="G878:I878"/>
    <mergeCell ref="J878:M878"/>
    <mergeCell ref="D875:F875"/>
    <mergeCell ref="G875:I875"/>
    <mergeCell ref="J875:M875"/>
    <mergeCell ref="D876:F876"/>
    <mergeCell ref="G876:I876"/>
    <mergeCell ref="J876:M876"/>
    <mergeCell ref="D873:F873"/>
    <mergeCell ref="G873:I873"/>
    <mergeCell ref="J873:M873"/>
    <mergeCell ref="D874:F874"/>
    <mergeCell ref="G874:I874"/>
    <mergeCell ref="J874:M874"/>
    <mergeCell ref="D871:F871"/>
    <mergeCell ref="G871:I871"/>
    <mergeCell ref="J871:M871"/>
    <mergeCell ref="D872:F872"/>
    <mergeCell ref="G872:I872"/>
    <mergeCell ref="J872:M872"/>
    <mergeCell ref="D869:F869"/>
    <mergeCell ref="G869:I869"/>
    <mergeCell ref="J869:M869"/>
    <mergeCell ref="D870:F870"/>
    <mergeCell ref="G870:I870"/>
    <mergeCell ref="J870:M870"/>
    <mergeCell ref="D867:F867"/>
    <mergeCell ref="G867:I867"/>
    <mergeCell ref="J867:M867"/>
    <mergeCell ref="D868:F868"/>
    <mergeCell ref="G868:I868"/>
    <mergeCell ref="J868:M868"/>
    <mergeCell ref="D865:F865"/>
    <mergeCell ref="G865:I865"/>
    <mergeCell ref="J865:M865"/>
    <mergeCell ref="D866:F866"/>
    <mergeCell ref="G866:I866"/>
    <mergeCell ref="J866:M866"/>
    <mergeCell ref="D863:F863"/>
    <mergeCell ref="G863:I863"/>
    <mergeCell ref="J863:M863"/>
    <mergeCell ref="D864:F864"/>
    <mergeCell ref="G864:I864"/>
    <mergeCell ref="J864:M864"/>
    <mergeCell ref="D861:F861"/>
    <mergeCell ref="G861:I861"/>
    <mergeCell ref="J861:M861"/>
    <mergeCell ref="D862:F862"/>
    <mergeCell ref="G862:I862"/>
    <mergeCell ref="J862:M862"/>
    <mergeCell ref="D859:F859"/>
    <mergeCell ref="G859:I859"/>
    <mergeCell ref="J859:M859"/>
    <mergeCell ref="D860:F860"/>
    <mergeCell ref="G860:I860"/>
    <mergeCell ref="J860:M860"/>
    <mergeCell ref="D857:F857"/>
    <mergeCell ref="G857:I857"/>
    <mergeCell ref="J857:M857"/>
    <mergeCell ref="D858:F858"/>
    <mergeCell ref="G858:I858"/>
    <mergeCell ref="J858:M858"/>
    <mergeCell ref="D855:F855"/>
    <mergeCell ref="G855:I855"/>
    <mergeCell ref="J855:M855"/>
    <mergeCell ref="D856:F856"/>
    <mergeCell ref="G856:I856"/>
    <mergeCell ref="J856:M856"/>
    <mergeCell ref="D853:F853"/>
    <mergeCell ref="G853:I853"/>
    <mergeCell ref="J853:M853"/>
    <mergeCell ref="D854:F854"/>
    <mergeCell ref="G854:I854"/>
    <mergeCell ref="J854:M854"/>
    <mergeCell ref="D851:F851"/>
    <mergeCell ref="G851:I851"/>
    <mergeCell ref="J851:M851"/>
    <mergeCell ref="D852:F852"/>
    <mergeCell ref="G852:I852"/>
    <mergeCell ref="J852:M852"/>
    <mergeCell ref="D849:F849"/>
    <mergeCell ref="G849:I849"/>
    <mergeCell ref="J849:M849"/>
    <mergeCell ref="D850:F850"/>
    <mergeCell ref="G850:I850"/>
    <mergeCell ref="J850:M850"/>
    <mergeCell ref="D847:F847"/>
    <mergeCell ref="G847:I847"/>
    <mergeCell ref="J847:M847"/>
    <mergeCell ref="D848:F848"/>
    <mergeCell ref="G848:I848"/>
    <mergeCell ref="J848:M848"/>
    <mergeCell ref="D845:F845"/>
    <mergeCell ref="G845:I845"/>
    <mergeCell ref="J845:M845"/>
    <mergeCell ref="D846:F846"/>
    <mergeCell ref="G846:I846"/>
    <mergeCell ref="J846:M846"/>
    <mergeCell ref="D843:F843"/>
    <mergeCell ref="G843:I843"/>
    <mergeCell ref="J843:M843"/>
    <mergeCell ref="D844:F844"/>
    <mergeCell ref="G844:I844"/>
    <mergeCell ref="J844:M844"/>
    <mergeCell ref="D841:F841"/>
    <mergeCell ref="G841:I841"/>
    <mergeCell ref="J841:M841"/>
    <mergeCell ref="D842:F842"/>
    <mergeCell ref="G842:I842"/>
    <mergeCell ref="J842:M842"/>
    <mergeCell ref="D839:F839"/>
    <mergeCell ref="G839:I839"/>
    <mergeCell ref="J839:M839"/>
    <mergeCell ref="D840:F840"/>
    <mergeCell ref="G840:I840"/>
    <mergeCell ref="J840:M840"/>
    <mergeCell ref="D837:F837"/>
    <mergeCell ref="G837:I837"/>
    <mergeCell ref="J837:M837"/>
    <mergeCell ref="D838:F838"/>
    <mergeCell ref="G838:I838"/>
    <mergeCell ref="J838:M838"/>
    <mergeCell ref="D835:F835"/>
    <mergeCell ref="G835:I835"/>
    <mergeCell ref="J835:M835"/>
    <mergeCell ref="D836:F836"/>
    <mergeCell ref="G836:I836"/>
    <mergeCell ref="J836:M836"/>
    <mergeCell ref="D833:F833"/>
    <mergeCell ref="G833:I833"/>
    <mergeCell ref="J833:M833"/>
    <mergeCell ref="D834:F834"/>
    <mergeCell ref="G834:I834"/>
    <mergeCell ref="J834:M834"/>
    <mergeCell ref="D831:F831"/>
    <mergeCell ref="G831:I831"/>
    <mergeCell ref="J831:M831"/>
    <mergeCell ref="D832:F832"/>
    <mergeCell ref="G832:I832"/>
    <mergeCell ref="J832:M832"/>
    <mergeCell ref="D829:F829"/>
    <mergeCell ref="G829:I829"/>
    <mergeCell ref="J829:M829"/>
    <mergeCell ref="D830:F830"/>
    <mergeCell ref="G830:I830"/>
    <mergeCell ref="J830:M830"/>
    <mergeCell ref="D827:F827"/>
    <mergeCell ref="G827:I827"/>
    <mergeCell ref="J827:M827"/>
    <mergeCell ref="D828:F828"/>
    <mergeCell ref="G828:I828"/>
    <mergeCell ref="J828:M828"/>
    <mergeCell ref="D825:F825"/>
    <mergeCell ref="G825:I825"/>
    <mergeCell ref="J825:M825"/>
    <mergeCell ref="D826:F826"/>
    <mergeCell ref="G826:I826"/>
    <mergeCell ref="J826:M826"/>
    <mergeCell ref="D823:F823"/>
    <mergeCell ref="G823:I823"/>
    <mergeCell ref="J823:M823"/>
    <mergeCell ref="D824:F824"/>
    <mergeCell ref="G824:I824"/>
    <mergeCell ref="J824:M824"/>
    <mergeCell ref="D821:F821"/>
    <mergeCell ref="G821:I821"/>
    <mergeCell ref="J821:M821"/>
    <mergeCell ref="D822:F822"/>
    <mergeCell ref="G822:I822"/>
    <mergeCell ref="J822:M822"/>
    <mergeCell ref="D819:F819"/>
    <mergeCell ref="G819:I819"/>
    <mergeCell ref="J819:M819"/>
    <mergeCell ref="D820:F820"/>
    <mergeCell ref="G820:I820"/>
    <mergeCell ref="J820:M820"/>
    <mergeCell ref="D817:F817"/>
    <mergeCell ref="G817:I817"/>
    <mergeCell ref="J817:M817"/>
    <mergeCell ref="D818:F818"/>
    <mergeCell ref="G818:I818"/>
    <mergeCell ref="J818:M818"/>
    <mergeCell ref="D815:F815"/>
    <mergeCell ref="G815:I815"/>
    <mergeCell ref="J815:M815"/>
    <mergeCell ref="D816:F816"/>
    <mergeCell ref="G816:I816"/>
    <mergeCell ref="J816:M816"/>
    <mergeCell ref="D813:F813"/>
    <mergeCell ref="G813:I813"/>
    <mergeCell ref="J813:M813"/>
    <mergeCell ref="D814:F814"/>
    <mergeCell ref="G814:I814"/>
    <mergeCell ref="J814:M814"/>
    <mergeCell ref="D811:F811"/>
    <mergeCell ref="G811:I811"/>
    <mergeCell ref="J811:M811"/>
    <mergeCell ref="D812:F812"/>
    <mergeCell ref="G812:I812"/>
    <mergeCell ref="J812:M812"/>
    <mergeCell ref="D809:F809"/>
    <mergeCell ref="G809:I809"/>
    <mergeCell ref="J809:M809"/>
    <mergeCell ref="D810:F810"/>
    <mergeCell ref="G810:I810"/>
    <mergeCell ref="J810:M810"/>
    <mergeCell ref="D807:F807"/>
    <mergeCell ref="G807:I807"/>
    <mergeCell ref="J807:M807"/>
    <mergeCell ref="D808:F808"/>
    <mergeCell ref="G808:I808"/>
    <mergeCell ref="J808:M808"/>
    <mergeCell ref="D805:F805"/>
    <mergeCell ref="G805:I805"/>
    <mergeCell ref="J805:M805"/>
    <mergeCell ref="D806:F806"/>
    <mergeCell ref="G806:I806"/>
    <mergeCell ref="J806:M806"/>
    <mergeCell ref="D803:F803"/>
    <mergeCell ref="G803:I803"/>
    <mergeCell ref="J803:M803"/>
    <mergeCell ref="D804:F804"/>
    <mergeCell ref="G804:I804"/>
    <mergeCell ref="J804:M804"/>
    <mergeCell ref="D801:F801"/>
    <mergeCell ref="G801:I801"/>
    <mergeCell ref="J801:M801"/>
    <mergeCell ref="D802:F802"/>
    <mergeCell ref="G802:I802"/>
    <mergeCell ref="J802:M802"/>
    <mergeCell ref="D799:F799"/>
    <mergeCell ref="G799:I799"/>
    <mergeCell ref="J799:M799"/>
    <mergeCell ref="D800:F800"/>
    <mergeCell ref="G800:I800"/>
    <mergeCell ref="J800:M800"/>
    <mergeCell ref="D797:F797"/>
    <mergeCell ref="G797:I797"/>
    <mergeCell ref="J797:M797"/>
    <mergeCell ref="D798:F798"/>
    <mergeCell ref="G798:I798"/>
    <mergeCell ref="J798:M798"/>
    <mergeCell ref="D795:F795"/>
    <mergeCell ref="G795:I795"/>
    <mergeCell ref="J795:M795"/>
    <mergeCell ref="D796:F796"/>
    <mergeCell ref="G796:I796"/>
    <mergeCell ref="J796:M796"/>
    <mergeCell ref="D793:F793"/>
    <mergeCell ref="G793:I793"/>
    <mergeCell ref="J793:M793"/>
    <mergeCell ref="D794:F794"/>
    <mergeCell ref="G794:I794"/>
    <mergeCell ref="J794:M794"/>
    <mergeCell ref="D791:F791"/>
    <mergeCell ref="G791:I791"/>
    <mergeCell ref="J791:M791"/>
    <mergeCell ref="D792:F792"/>
    <mergeCell ref="G792:I792"/>
    <mergeCell ref="J792:M792"/>
    <mergeCell ref="D789:F789"/>
    <mergeCell ref="G789:I789"/>
    <mergeCell ref="J789:M789"/>
    <mergeCell ref="D790:F790"/>
    <mergeCell ref="G790:I790"/>
    <mergeCell ref="J790:M790"/>
    <mergeCell ref="D787:F787"/>
    <mergeCell ref="G787:I787"/>
    <mergeCell ref="J787:M787"/>
    <mergeCell ref="D788:F788"/>
    <mergeCell ref="G788:I788"/>
    <mergeCell ref="J788:M788"/>
    <mergeCell ref="D785:F785"/>
    <mergeCell ref="G785:I785"/>
    <mergeCell ref="J785:M785"/>
    <mergeCell ref="D786:F786"/>
    <mergeCell ref="G786:I786"/>
    <mergeCell ref="J786:M786"/>
    <mergeCell ref="D783:F783"/>
    <mergeCell ref="G783:I783"/>
    <mergeCell ref="J783:M783"/>
    <mergeCell ref="D784:F784"/>
    <mergeCell ref="G784:I784"/>
    <mergeCell ref="J784:M784"/>
    <mergeCell ref="D781:F781"/>
    <mergeCell ref="G781:I781"/>
    <mergeCell ref="J781:M781"/>
    <mergeCell ref="D782:F782"/>
    <mergeCell ref="G782:I782"/>
    <mergeCell ref="J782:M782"/>
    <mergeCell ref="D779:F779"/>
    <mergeCell ref="G779:I779"/>
    <mergeCell ref="J779:M779"/>
    <mergeCell ref="D780:F780"/>
    <mergeCell ref="G780:I780"/>
    <mergeCell ref="J780:M780"/>
    <mergeCell ref="D777:F777"/>
    <mergeCell ref="G777:I777"/>
    <mergeCell ref="J777:M777"/>
    <mergeCell ref="D778:F778"/>
    <mergeCell ref="G778:I778"/>
    <mergeCell ref="J778:M778"/>
    <mergeCell ref="D775:F775"/>
    <mergeCell ref="G775:I775"/>
    <mergeCell ref="J775:M775"/>
    <mergeCell ref="D776:F776"/>
    <mergeCell ref="G776:I776"/>
    <mergeCell ref="J776:M776"/>
    <mergeCell ref="D773:F773"/>
    <mergeCell ref="G773:I773"/>
    <mergeCell ref="J773:M773"/>
    <mergeCell ref="D774:F774"/>
    <mergeCell ref="G774:I774"/>
    <mergeCell ref="J774:M774"/>
    <mergeCell ref="D771:F771"/>
    <mergeCell ref="G771:I771"/>
    <mergeCell ref="J771:M771"/>
    <mergeCell ref="D772:F772"/>
    <mergeCell ref="G772:I772"/>
    <mergeCell ref="J772:M772"/>
    <mergeCell ref="D769:F769"/>
    <mergeCell ref="G769:I769"/>
    <mergeCell ref="J769:M769"/>
    <mergeCell ref="D770:F770"/>
    <mergeCell ref="G770:I770"/>
    <mergeCell ref="J770:M770"/>
    <mergeCell ref="D767:F767"/>
    <mergeCell ref="G767:I767"/>
    <mergeCell ref="J767:M767"/>
    <mergeCell ref="D768:F768"/>
    <mergeCell ref="G768:I768"/>
    <mergeCell ref="J768:M768"/>
    <mergeCell ref="D765:F765"/>
    <mergeCell ref="G765:I765"/>
    <mergeCell ref="J765:M765"/>
    <mergeCell ref="D766:F766"/>
    <mergeCell ref="G766:I766"/>
    <mergeCell ref="J766:M766"/>
    <mergeCell ref="D763:F763"/>
    <mergeCell ref="G763:I763"/>
    <mergeCell ref="J763:M763"/>
    <mergeCell ref="D764:F764"/>
    <mergeCell ref="G764:I764"/>
    <mergeCell ref="J764:M764"/>
    <mergeCell ref="D761:F761"/>
    <mergeCell ref="G761:I761"/>
    <mergeCell ref="J761:M761"/>
    <mergeCell ref="D762:F762"/>
    <mergeCell ref="G762:I762"/>
    <mergeCell ref="J762:M762"/>
    <mergeCell ref="D759:F759"/>
    <mergeCell ref="G759:I759"/>
    <mergeCell ref="J759:M759"/>
    <mergeCell ref="D760:F760"/>
    <mergeCell ref="G760:I760"/>
    <mergeCell ref="J760:M760"/>
    <mergeCell ref="D757:F757"/>
    <mergeCell ref="G757:I757"/>
    <mergeCell ref="J757:M757"/>
    <mergeCell ref="D758:F758"/>
    <mergeCell ref="G758:I758"/>
    <mergeCell ref="J758:M758"/>
    <mergeCell ref="D755:F755"/>
    <mergeCell ref="G755:I755"/>
    <mergeCell ref="J755:M755"/>
    <mergeCell ref="D756:F756"/>
    <mergeCell ref="G756:I756"/>
    <mergeCell ref="J756:M756"/>
    <mergeCell ref="D753:F753"/>
    <mergeCell ref="G753:I753"/>
    <mergeCell ref="J753:M753"/>
    <mergeCell ref="D754:F754"/>
    <mergeCell ref="G754:I754"/>
    <mergeCell ref="J754:M754"/>
    <mergeCell ref="D751:F751"/>
    <mergeCell ref="G751:I751"/>
    <mergeCell ref="J751:M751"/>
    <mergeCell ref="D752:F752"/>
    <mergeCell ref="G752:I752"/>
    <mergeCell ref="J752:M752"/>
    <mergeCell ref="D749:F749"/>
    <mergeCell ref="G749:I749"/>
    <mergeCell ref="J749:M749"/>
    <mergeCell ref="D750:F750"/>
    <mergeCell ref="G750:I750"/>
    <mergeCell ref="J750:M750"/>
    <mergeCell ref="D747:F747"/>
    <mergeCell ref="G747:I747"/>
    <mergeCell ref="J747:M747"/>
    <mergeCell ref="D748:F748"/>
    <mergeCell ref="G748:I748"/>
    <mergeCell ref="J748:M748"/>
    <mergeCell ref="D745:F745"/>
    <mergeCell ref="G745:I745"/>
    <mergeCell ref="J745:M745"/>
    <mergeCell ref="D746:F746"/>
    <mergeCell ref="G746:I746"/>
    <mergeCell ref="J746:M746"/>
    <mergeCell ref="D743:F743"/>
    <mergeCell ref="G743:I743"/>
    <mergeCell ref="J743:M743"/>
    <mergeCell ref="D744:F744"/>
    <mergeCell ref="G744:I744"/>
    <mergeCell ref="J744:M744"/>
    <mergeCell ref="D741:F741"/>
    <mergeCell ref="G741:I741"/>
    <mergeCell ref="J741:M741"/>
    <mergeCell ref="D742:F742"/>
    <mergeCell ref="G742:I742"/>
    <mergeCell ref="J742:M742"/>
    <mergeCell ref="D739:F739"/>
    <mergeCell ref="G739:I739"/>
    <mergeCell ref="J739:M739"/>
    <mergeCell ref="D740:F740"/>
    <mergeCell ref="G740:I740"/>
    <mergeCell ref="J740:M740"/>
    <mergeCell ref="D737:F737"/>
    <mergeCell ref="G737:I737"/>
    <mergeCell ref="J737:M737"/>
    <mergeCell ref="D738:F738"/>
    <mergeCell ref="G738:I738"/>
    <mergeCell ref="J738:M738"/>
    <mergeCell ref="D735:F735"/>
    <mergeCell ref="G735:I735"/>
    <mergeCell ref="J735:M735"/>
    <mergeCell ref="D736:F736"/>
    <mergeCell ref="G736:I736"/>
    <mergeCell ref="J736:M736"/>
    <mergeCell ref="D733:F733"/>
    <mergeCell ref="G733:I733"/>
    <mergeCell ref="J733:M733"/>
    <mergeCell ref="D734:F734"/>
    <mergeCell ref="G734:I734"/>
    <mergeCell ref="J734:M734"/>
    <mergeCell ref="D731:F731"/>
    <mergeCell ref="G731:I731"/>
    <mergeCell ref="J731:M731"/>
    <mergeCell ref="D732:F732"/>
    <mergeCell ref="G732:I732"/>
    <mergeCell ref="J732:M732"/>
    <mergeCell ref="D729:F729"/>
    <mergeCell ref="G729:I729"/>
    <mergeCell ref="J729:M729"/>
    <mergeCell ref="D730:F730"/>
    <mergeCell ref="G730:I730"/>
    <mergeCell ref="J730:M730"/>
    <mergeCell ref="D727:F727"/>
    <mergeCell ref="G727:I727"/>
    <mergeCell ref="J727:M727"/>
    <mergeCell ref="D728:F728"/>
    <mergeCell ref="G728:I728"/>
    <mergeCell ref="J728:M728"/>
    <mergeCell ref="D725:F725"/>
    <mergeCell ref="G725:I725"/>
    <mergeCell ref="J725:M725"/>
    <mergeCell ref="D726:F726"/>
    <mergeCell ref="G726:I726"/>
    <mergeCell ref="J726:M726"/>
    <mergeCell ref="D723:F723"/>
    <mergeCell ref="G723:I723"/>
    <mergeCell ref="J723:M723"/>
    <mergeCell ref="D724:F724"/>
    <mergeCell ref="G724:I724"/>
    <mergeCell ref="J724:M724"/>
    <mergeCell ref="D721:F721"/>
    <mergeCell ref="G721:I721"/>
    <mergeCell ref="J721:M721"/>
    <mergeCell ref="D722:F722"/>
    <mergeCell ref="G722:I722"/>
    <mergeCell ref="J722:M722"/>
    <mergeCell ref="D719:F719"/>
    <mergeCell ref="G719:I719"/>
    <mergeCell ref="J719:M719"/>
    <mergeCell ref="D720:F720"/>
    <mergeCell ref="G720:I720"/>
    <mergeCell ref="J720:M720"/>
    <mergeCell ref="D717:F717"/>
    <mergeCell ref="G717:I717"/>
    <mergeCell ref="J717:M717"/>
    <mergeCell ref="D718:F718"/>
    <mergeCell ref="G718:I718"/>
    <mergeCell ref="J718:M718"/>
    <mergeCell ref="D715:F715"/>
    <mergeCell ref="G715:I715"/>
    <mergeCell ref="J715:M715"/>
    <mergeCell ref="D716:F716"/>
    <mergeCell ref="G716:I716"/>
    <mergeCell ref="J716:M716"/>
    <mergeCell ref="D713:F713"/>
    <mergeCell ref="G713:I713"/>
    <mergeCell ref="J713:M713"/>
    <mergeCell ref="D714:F714"/>
    <mergeCell ref="G714:I714"/>
    <mergeCell ref="J714:M714"/>
    <mergeCell ref="D711:F711"/>
    <mergeCell ref="G711:I711"/>
    <mergeCell ref="J711:M711"/>
    <mergeCell ref="D712:F712"/>
    <mergeCell ref="G712:I712"/>
    <mergeCell ref="J712:M712"/>
    <mergeCell ref="D709:F709"/>
    <mergeCell ref="G709:I709"/>
    <mergeCell ref="J709:M709"/>
    <mergeCell ref="D710:F710"/>
    <mergeCell ref="G710:I710"/>
    <mergeCell ref="J710:M710"/>
    <mergeCell ref="D707:F707"/>
    <mergeCell ref="G707:I707"/>
    <mergeCell ref="J707:M707"/>
    <mergeCell ref="D708:F708"/>
    <mergeCell ref="G708:I708"/>
    <mergeCell ref="J708:M708"/>
    <mergeCell ref="D705:F705"/>
    <mergeCell ref="G705:I705"/>
    <mergeCell ref="J705:M705"/>
    <mergeCell ref="D706:F706"/>
    <mergeCell ref="G706:I706"/>
    <mergeCell ref="J706:M706"/>
    <mergeCell ref="D703:F703"/>
    <mergeCell ref="G703:I703"/>
    <mergeCell ref="J703:M703"/>
    <mergeCell ref="D704:F704"/>
    <mergeCell ref="G704:I704"/>
    <mergeCell ref="J704:M704"/>
    <mergeCell ref="D701:F701"/>
    <mergeCell ref="G701:I701"/>
    <mergeCell ref="J701:M701"/>
    <mergeCell ref="D702:F702"/>
    <mergeCell ref="G702:I702"/>
    <mergeCell ref="J702:M702"/>
    <mergeCell ref="D699:F699"/>
    <mergeCell ref="G699:I699"/>
    <mergeCell ref="J699:M699"/>
    <mergeCell ref="D700:F700"/>
    <mergeCell ref="G700:I700"/>
    <mergeCell ref="J700:M700"/>
    <mergeCell ref="D697:F697"/>
    <mergeCell ref="G697:I697"/>
    <mergeCell ref="J697:M697"/>
    <mergeCell ref="D698:F698"/>
    <mergeCell ref="G698:I698"/>
    <mergeCell ref="J698:M698"/>
    <mergeCell ref="D695:F695"/>
    <mergeCell ref="G695:I695"/>
    <mergeCell ref="J695:M695"/>
    <mergeCell ref="D696:F696"/>
    <mergeCell ref="G696:I696"/>
    <mergeCell ref="J696:M696"/>
    <mergeCell ref="D693:F693"/>
    <mergeCell ref="G693:I693"/>
    <mergeCell ref="J693:M693"/>
    <mergeCell ref="D694:F694"/>
    <mergeCell ref="G694:I694"/>
    <mergeCell ref="J694:M694"/>
    <mergeCell ref="D691:F691"/>
    <mergeCell ref="G691:I691"/>
    <mergeCell ref="J691:M691"/>
    <mergeCell ref="D692:F692"/>
    <mergeCell ref="G692:I692"/>
    <mergeCell ref="J692:M692"/>
    <mergeCell ref="D689:F689"/>
    <mergeCell ref="G689:I689"/>
    <mergeCell ref="J689:M689"/>
    <mergeCell ref="D690:F690"/>
    <mergeCell ref="G690:I690"/>
    <mergeCell ref="J690:M690"/>
    <mergeCell ref="D687:F687"/>
    <mergeCell ref="G687:I687"/>
    <mergeCell ref="J687:M687"/>
    <mergeCell ref="D688:F688"/>
    <mergeCell ref="G688:I688"/>
    <mergeCell ref="J688:M688"/>
    <mergeCell ref="D685:F685"/>
    <mergeCell ref="G685:I685"/>
    <mergeCell ref="J685:M685"/>
    <mergeCell ref="D686:F686"/>
    <mergeCell ref="G686:I686"/>
    <mergeCell ref="J686:M686"/>
    <mergeCell ref="D683:F683"/>
    <mergeCell ref="G683:I683"/>
    <mergeCell ref="J683:M683"/>
    <mergeCell ref="D684:F684"/>
    <mergeCell ref="G684:I684"/>
    <mergeCell ref="J684:M684"/>
    <mergeCell ref="D681:F681"/>
    <mergeCell ref="G681:I681"/>
    <mergeCell ref="J681:M681"/>
    <mergeCell ref="D682:F682"/>
    <mergeCell ref="G682:I682"/>
    <mergeCell ref="J682:M682"/>
    <mergeCell ref="D679:F679"/>
    <mergeCell ref="G679:I679"/>
    <mergeCell ref="J679:M679"/>
    <mergeCell ref="D680:F680"/>
    <mergeCell ref="G680:I680"/>
    <mergeCell ref="J680:M680"/>
    <mergeCell ref="D677:F677"/>
    <mergeCell ref="G677:I677"/>
    <mergeCell ref="J677:M677"/>
    <mergeCell ref="D678:F678"/>
    <mergeCell ref="G678:I678"/>
    <mergeCell ref="J678:M678"/>
    <mergeCell ref="D675:F675"/>
    <mergeCell ref="G675:I675"/>
    <mergeCell ref="J675:M675"/>
    <mergeCell ref="D676:F676"/>
    <mergeCell ref="G676:I676"/>
    <mergeCell ref="J676:M676"/>
    <mergeCell ref="D673:F673"/>
    <mergeCell ref="G673:I673"/>
    <mergeCell ref="J673:M673"/>
    <mergeCell ref="D674:F674"/>
    <mergeCell ref="G674:I674"/>
    <mergeCell ref="J674:M674"/>
    <mergeCell ref="D671:F671"/>
    <mergeCell ref="G671:I671"/>
    <mergeCell ref="J671:M671"/>
    <mergeCell ref="D672:F672"/>
    <mergeCell ref="G672:I672"/>
    <mergeCell ref="J672:M672"/>
    <mergeCell ref="D669:F669"/>
    <mergeCell ref="G669:I669"/>
    <mergeCell ref="J669:M669"/>
    <mergeCell ref="D670:F670"/>
    <mergeCell ref="G670:I670"/>
    <mergeCell ref="J670:M670"/>
    <mergeCell ref="D667:F667"/>
    <mergeCell ref="G667:I667"/>
    <mergeCell ref="J667:M667"/>
    <mergeCell ref="D668:F668"/>
    <mergeCell ref="G668:I668"/>
    <mergeCell ref="J668:M668"/>
    <mergeCell ref="D665:F665"/>
    <mergeCell ref="G665:I665"/>
    <mergeCell ref="J665:M665"/>
    <mergeCell ref="D666:F666"/>
    <mergeCell ref="G666:I666"/>
    <mergeCell ref="J666:M666"/>
    <mergeCell ref="D663:F663"/>
    <mergeCell ref="G663:I663"/>
    <mergeCell ref="J663:M663"/>
    <mergeCell ref="D664:F664"/>
    <mergeCell ref="G664:I664"/>
    <mergeCell ref="J664:M664"/>
    <mergeCell ref="D661:F661"/>
    <mergeCell ref="G661:I661"/>
    <mergeCell ref="J661:M661"/>
    <mergeCell ref="D662:F662"/>
    <mergeCell ref="G662:I662"/>
    <mergeCell ref="J662:M662"/>
    <mergeCell ref="D659:F659"/>
    <mergeCell ref="G659:I659"/>
    <mergeCell ref="J659:M659"/>
    <mergeCell ref="D660:F660"/>
    <mergeCell ref="G660:I660"/>
    <mergeCell ref="J660:M660"/>
    <mergeCell ref="D657:F657"/>
    <mergeCell ref="G657:I657"/>
    <mergeCell ref="J657:M657"/>
    <mergeCell ref="D658:F658"/>
    <mergeCell ref="G658:I658"/>
    <mergeCell ref="J658:M658"/>
    <mergeCell ref="D655:F655"/>
    <mergeCell ref="G655:I655"/>
    <mergeCell ref="J655:M655"/>
    <mergeCell ref="D656:F656"/>
    <mergeCell ref="G656:I656"/>
    <mergeCell ref="J656:M656"/>
    <mergeCell ref="D653:F653"/>
    <mergeCell ref="G653:I653"/>
    <mergeCell ref="J653:M653"/>
    <mergeCell ref="D654:F654"/>
    <mergeCell ref="G654:I654"/>
    <mergeCell ref="J654:M654"/>
    <mergeCell ref="D651:F651"/>
    <mergeCell ref="G651:I651"/>
    <mergeCell ref="J651:M651"/>
    <mergeCell ref="D652:F652"/>
    <mergeCell ref="G652:I652"/>
    <mergeCell ref="J652:M652"/>
    <mergeCell ref="D649:F649"/>
    <mergeCell ref="G649:I649"/>
    <mergeCell ref="J649:M649"/>
    <mergeCell ref="D650:F650"/>
    <mergeCell ref="G650:I650"/>
    <mergeCell ref="J650:M650"/>
    <mergeCell ref="D647:F647"/>
    <mergeCell ref="G647:I647"/>
    <mergeCell ref="J647:M647"/>
    <mergeCell ref="D648:F648"/>
    <mergeCell ref="G648:I648"/>
    <mergeCell ref="J648:M648"/>
    <mergeCell ref="D645:F645"/>
    <mergeCell ref="G645:I645"/>
    <mergeCell ref="J645:M645"/>
    <mergeCell ref="D646:F646"/>
    <mergeCell ref="G646:I646"/>
    <mergeCell ref="J646:M646"/>
    <mergeCell ref="D643:F643"/>
    <mergeCell ref="G643:I643"/>
    <mergeCell ref="J643:M643"/>
    <mergeCell ref="D644:F644"/>
    <mergeCell ref="G644:I644"/>
    <mergeCell ref="J644:M644"/>
    <mergeCell ref="D641:F641"/>
    <mergeCell ref="G641:I641"/>
    <mergeCell ref="J641:M641"/>
    <mergeCell ref="D642:F642"/>
    <mergeCell ref="G642:I642"/>
    <mergeCell ref="J642:M642"/>
    <mergeCell ref="D639:F639"/>
    <mergeCell ref="G639:I639"/>
    <mergeCell ref="J639:M639"/>
    <mergeCell ref="D640:F640"/>
    <mergeCell ref="G640:I640"/>
    <mergeCell ref="J640:M640"/>
    <mergeCell ref="D637:F637"/>
    <mergeCell ref="G637:I637"/>
    <mergeCell ref="J637:M637"/>
    <mergeCell ref="D638:F638"/>
    <mergeCell ref="G638:I638"/>
    <mergeCell ref="J638:M638"/>
    <mergeCell ref="D635:F635"/>
    <mergeCell ref="G635:I635"/>
    <mergeCell ref="J635:M635"/>
    <mergeCell ref="D636:F636"/>
    <mergeCell ref="G636:I636"/>
    <mergeCell ref="J636:M636"/>
    <mergeCell ref="D633:F633"/>
    <mergeCell ref="G633:I633"/>
    <mergeCell ref="J633:M633"/>
    <mergeCell ref="D634:F634"/>
    <mergeCell ref="G634:I634"/>
    <mergeCell ref="J634:M634"/>
    <mergeCell ref="D631:F631"/>
    <mergeCell ref="G631:I631"/>
    <mergeCell ref="J631:M631"/>
    <mergeCell ref="D632:F632"/>
    <mergeCell ref="G632:I632"/>
    <mergeCell ref="J632:M632"/>
    <mergeCell ref="D629:F629"/>
    <mergeCell ref="G629:I629"/>
    <mergeCell ref="J629:M629"/>
    <mergeCell ref="D630:F630"/>
    <mergeCell ref="G630:I630"/>
    <mergeCell ref="J630:M630"/>
    <mergeCell ref="D627:F627"/>
    <mergeCell ref="G627:I627"/>
    <mergeCell ref="J627:M627"/>
    <mergeCell ref="D628:F628"/>
    <mergeCell ref="G628:I628"/>
    <mergeCell ref="J628:M628"/>
    <mergeCell ref="D625:F625"/>
    <mergeCell ref="G625:I625"/>
    <mergeCell ref="J625:M625"/>
    <mergeCell ref="D626:F626"/>
    <mergeCell ref="G626:I626"/>
    <mergeCell ref="J626:M626"/>
    <mergeCell ref="D623:F623"/>
    <mergeCell ref="G623:I623"/>
    <mergeCell ref="J623:M623"/>
    <mergeCell ref="D624:F624"/>
    <mergeCell ref="G624:I624"/>
    <mergeCell ref="J624:M624"/>
    <mergeCell ref="D621:F621"/>
    <mergeCell ref="G621:I621"/>
    <mergeCell ref="J621:M621"/>
    <mergeCell ref="D622:F622"/>
    <mergeCell ref="G622:I622"/>
    <mergeCell ref="J622:M622"/>
    <mergeCell ref="D619:F619"/>
    <mergeCell ref="G619:I619"/>
    <mergeCell ref="J619:M619"/>
    <mergeCell ref="D620:F620"/>
    <mergeCell ref="G620:I620"/>
    <mergeCell ref="J620:M620"/>
    <mergeCell ref="D617:F617"/>
    <mergeCell ref="G617:I617"/>
    <mergeCell ref="J617:M617"/>
    <mergeCell ref="D618:F618"/>
    <mergeCell ref="G618:I618"/>
    <mergeCell ref="J618:M618"/>
    <mergeCell ref="D615:F615"/>
    <mergeCell ref="G615:I615"/>
    <mergeCell ref="J615:M615"/>
    <mergeCell ref="D616:F616"/>
    <mergeCell ref="G616:I616"/>
    <mergeCell ref="J616:M616"/>
    <mergeCell ref="D613:F613"/>
    <mergeCell ref="G613:I613"/>
    <mergeCell ref="J613:M613"/>
    <mergeCell ref="D614:F614"/>
    <mergeCell ref="G614:I614"/>
    <mergeCell ref="J614:M614"/>
    <mergeCell ref="D611:F611"/>
    <mergeCell ref="G611:I611"/>
    <mergeCell ref="J611:M611"/>
    <mergeCell ref="D612:F612"/>
    <mergeCell ref="G612:I612"/>
    <mergeCell ref="J612:M612"/>
    <mergeCell ref="D609:F609"/>
    <mergeCell ref="G609:I609"/>
    <mergeCell ref="J609:M609"/>
    <mergeCell ref="D610:F610"/>
    <mergeCell ref="G610:I610"/>
    <mergeCell ref="J610:M610"/>
    <mergeCell ref="D607:F607"/>
    <mergeCell ref="G607:I607"/>
    <mergeCell ref="J607:M607"/>
    <mergeCell ref="D608:F608"/>
    <mergeCell ref="G608:I608"/>
    <mergeCell ref="J608:M608"/>
    <mergeCell ref="D605:F605"/>
    <mergeCell ref="G605:I605"/>
    <mergeCell ref="J605:M605"/>
    <mergeCell ref="D606:F606"/>
    <mergeCell ref="G606:I606"/>
    <mergeCell ref="J606:M606"/>
    <mergeCell ref="D603:F603"/>
    <mergeCell ref="G603:I603"/>
    <mergeCell ref="J603:M603"/>
    <mergeCell ref="D604:F604"/>
    <mergeCell ref="G604:I604"/>
    <mergeCell ref="J604:M604"/>
    <mergeCell ref="D601:F601"/>
    <mergeCell ref="G601:I601"/>
    <mergeCell ref="J601:M601"/>
    <mergeCell ref="D602:F602"/>
    <mergeCell ref="G602:I602"/>
    <mergeCell ref="J602:M602"/>
    <mergeCell ref="D599:F599"/>
    <mergeCell ref="G599:I599"/>
    <mergeCell ref="J599:M599"/>
    <mergeCell ref="D600:F600"/>
    <mergeCell ref="G600:I600"/>
    <mergeCell ref="J600:M600"/>
    <mergeCell ref="D597:F597"/>
    <mergeCell ref="G597:I597"/>
    <mergeCell ref="J597:M597"/>
    <mergeCell ref="D598:F598"/>
    <mergeCell ref="G598:I598"/>
    <mergeCell ref="J598:M598"/>
    <mergeCell ref="D595:F595"/>
    <mergeCell ref="G595:I595"/>
    <mergeCell ref="J595:M595"/>
    <mergeCell ref="D596:F596"/>
    <mergeCell ref="G596:I596"/>
    <mergeCell ref="J596:M596"/>
    <mergeCell ref="D593:F593"/>
    <mergeCell ref="G593:I593"/>
    <mergeCell ref="J593:M593"/>
    <mergeCell ref="D594:F594"/>
    <mergeCell ref="G594:I594"/>
    <mergeCell ref="J594:M594"/>
    <mergeCell ref="D591:F591"/>
    <mergeCell ref="G591:I591"/>
    <mergeCell ref="J591:M591"/>
    <mergeCell ref="D592:F592"/>
    <mergeCell ref="G592:I592"/>
    <mergeCell ref="J592:M592"/>
    <mergeCell ref="D589:F589"/>
    <mergeCell ref="G589:I589"/>
    <mergeCell ref="J589:M589"/>
    <mergeCell ref="D590:F590"/>
    <mergeCell ref="G590:I590"/>
    <mergeCell ref="J590:M590"/>
    <mergeCell ref="D587:F587"/>
    <mergeCell ref="G587:I587"/>
    <mergeCell ref="J587:M587"/>
    <mergeCell ref="D588:F588"/>
    <mergeCell ref="G588:I588"/>
    <mergeCell ref="J588:M588"/>
    <mergeCell ref="D585:F585"/>
    <mergeCell ref="G585:I585"/>
    <mergeCell ref="J585:M585"/>
    <mergeCell ref="D586:F586"/>
    <mergeCell ref="G586:I586"/>
    <mergeCell ref="J586:M586"/>
    <mergeCell ref="D583:F583"/>
    <mergeCell ref="G583:I583"/>
    <mergeCell ref="J583:M583"/>
    <mergeCell ref="D584:F584"/>
    <mergeCell ref="G584:I584"/>
    <mergeCell ref="J584:M584"/>
    <mergeCell ref="D581:F581"/>
    <mergeCell ref="G581:I581"/>
    <mergeCell ref="J581:M581"/>
    <mergeCell ref="D582:F582"/>
    <mergeCell ref="G582:I582"/>
    <mergeCell ref="J582:M582"/>
    <mergeCell ref="D579:F579"/>
    <mergeCell ref="G579:I579"/>
    <mergeCell ref="J579:M579"/>
    <mergeCell ref="D580:F580"/>
    <mergeCell ref="G580:I580"/>
    <mergeCell ref="J580:M580"/>
    <mergeCell ref="D577:F577"/>
    <mergeCell ref="G577:I577"/>
    <mergeCell ref="J577:M577"/>
    <mergeCell ref="D578:F578"/>
    <mergeCell ref="G578:I578"/>
    <mergeCell ref="J578:M578"/>
    <mergeCell ref="D575:F575"/>
    <mergeCell ref="G575:I575"/>
    <mergeCell ref="J575:M575"/>
    <mergeCell ref="D576:F576"/>
    <mergeCell ref="G576:I576"/>
    <mergeCell ref="J576:M576"/>
    <mergeCell ref="D573:F573"/>
    <mergeCell ref="G573:I573"/>
    <mergeCell ref="J573:M573"/>
    <mergeCell ref="D574:F574"/>
    <mergeCell ref="G574:I574"/>
    <mergeCell ref="J574:M574"/>
    <mergeCell ref="D571:F571"/>
    <mergeCell ref="G571:I571"/>
    <mergeCell ref="J571:M571"/>
    <mergeCell ref="D572:F572"/>
    <mergeCell ref="G572:I572"/>
    <mergeCell ref="J572:M572"/>
    <mergeCell ref="D569:F569"/>
    <mergeCell ref="G569:I569"/>
    <mergeCell ref="J569:M569"/>
    <mergeCell ref="D570:F570"/>
    <mergeCell ref="G570:I570"/>
    <mergeCell ref="J570:M570"/>
    <mergeCell ref="D567:F567"/>
    <mergeCell ref="G567:I567"/>
    <mergeCell ref="J567:M567"/>
    <mergeCell ref="D568:F568"/>
    <mergeCell ref="G568:I568"/>
    <mergeCell ref="J568:M568"/>
    <mergeCell ref="D565:F565"/>
    <mergeCell ref="G565:I565"/>
    <mergeCell ref="J565:M565"/>
    <mergeCell ref="D566:F566"/>
    <mergeCell ref="G566:I566"/>
    <mergeCell ref="J566:M566"/>
    <mergeCell ref="D563:F563"/>
    <mergeCell ref="G563:I563"/>
    <mergeCell ref="J563:M563"/>
    <mergeCell ref="D564:F564"/>
    <mergeCell ref="G564:I564"/>
    <mergeCell ref="J564:M564"/>
    <mergeCell ref="D561:F561"/>
    <mergeCell ref="G561:I561"/>
    <mergeCell ref="J561:M561"/>
    <mergeCell ref="D562:F562"/>
    <mergeCell ref="G562:I562"/>
    <mergeCell ref="J562:M562"/>
    <mergeCell ref="D559:F559"/>
    <mergeCell ref="G559:I559"/>
    <mergeCell ref="J559:M559"/>
    <mergeCell ref="D560:F560"/>
    <mergeCell ref="G560:I560"/>
    <mergeCell ref="J560:M560"/>
    <mergeCell ref="D557:F557"/>
    <mergeCell ref="G557:I557"/>
    <mergeCell ref="J557:M557"/>
    <mergeCell ref="D558:F558"/>
    <mergeCell ref="G558:I558"/>
    <mergeCell ref="J558:M558"/>
    <mergeCell ref="D555:F555"/>
    <mergeCell ref="G555:I555"/>
    <mergeCell ref="J555:M555"/>
    <mergeCell ref="D556:F556"/>
    <mergeCell ref="G556:I556"/>
    <mergeCell ref="J556:M556"/>
    <mergeCell ref="D553:F553"/>
    <mergeCell ref="G553:I553"/>
    <mergeCell ref="J553:M553"/>
    <mergeCell ref="D554:F554"/>
    <mergeCell ref="G554:I554"/>
    <mergeCell ref="J554:M554"/>
    <mergeCell ref="D551:F551"/>
    <mergeCell ref="G551:I551"/>
    <mergeCell ref="J551:M551"/>
    <mergeCell ref="D552:F552"/>
    <mergeCell ref="G552:I552"/>
    <mergeCell ref="J552:M552"/>
    <mergeCell ref="D549:F549"/>
    <mergeCell ref="G549:I549"/>
    <mergeCell ref="J549:M549"/>
    <mergeCell ref="D550:F550"/>
    <mergeCell ref="G550:I550"/>
    <mergeCell ref="J550:M550"/>
    <mergeCell ref="D547:F547"/>
    <mergeCell ref="G547:I547"/>
    <mergeCell ref="J547:M547"/>
    <mergeCell ref="D548:F548"/>
    <mergeCell ref="G548:I548"/>
    <mergeCell ref="J548:M548"/>
    <mergeCell ref="D545:F545"/>
    <mergeCell ref="G545:I545"/>
    <mergeCell ref="J545:M545"/>
    <mergeCell ref="D546:F546"/>
    <mergeCell ref="G546:I546"/>
    <mergeCell ref="J546:M546"/>
    <mergeCell ref="D543:F543"/>
    <mergeCell ref="G543:I543"/>
    <mergeCell ref="J543:M543"/>
    <mergeCell ref="D544:F544"/>
    <mergeCell ref="G544:I544"/>
    <mergeCell ref="J544:M544"/>
    <mergeCell ref="D541:F541"/>
    <mergeCell ref="G541:I541"/>
    <mergeCell ref="J541:M541"/>
    <mergeCell ref="D542:F542"/>
    <mergeCell ref="G542:I542"/>
    <mergeCell ref="J542:M542"/>
    <mergeCell ref="D539:F539"/>
    <mergeCell ref="G539:I539"/>
    <mergeCell ref="J539:M539"/>
    <mergeCell ref="D540:F540"/>
    <mergeCell ref="G540:I540"/>
    <mergeCell ref="J540:M540"/>
    <mergeCell ref="D537:F537"/>
    <mergeCell ref="G537:I537"/>
    <mergeCell ref="J537:M537"/>
    <mergeCell ref="D538:F538"/>
    <mergeCell ref="G538:I538"/>
    <mergeCell ref="J538:M538"/>
    <mergeCell ref="D535:F535"/>
    <mergeCell ref="G535:I535"/>
    <mergeCell ref="J535:M535"/>
    <mergeCell ref="D536:F536"/>
    <mergeCell ref="G536:I536"/>
    <mergeCell ref="J536:M536"/>
    <mergeCell ref="D533:F533"/>
    <mergeCell ref="G533:I533"/>
    <mergeCell ref="J533:M533"/>
    <mergeCell ref="D534:F534"/>
    <mergeCell ref="G534:I534"/>
    <mergeCell ref="J534:M534"/>
    <mergeCell ref="D531:F531"/>
    <mergeCell ref="G531:I531"/>
    <mergeCell ref="J531:M531"/>
    <mergeCell ref="D532:F532"/>
    <mergeCell ref="G532:I532"/>
    <mergeCell ref="J532:M532"/>
    <mergeCell ref="D529:F529"/>
    <mergeCell ref="G529:I529"/>
    <mergeCell ref="J529:M529"/>
    <mergeCell ref="D530:F530"/>
    <mergeCell ref="G530:I530"/>
    <mergeCell ref="J530:M530"/>
    <mergeCell ref="D527:F527"/>
    <mergeCell ref="G527:I527"/>
    <mergeCell ref="J527:M527"/>
    <mergeCell ref="D528:F528"/>
    <mergeCell ref="G528:I528"/>
    <mergeCell ref="J528:M528"/>
    <mergeCell ref="D525:F525"/>
    <mergeCell ref="G525:I525"/>
    <mergeCell ref="J525:M525"/>
    <mergeCell ref="D526:F526"/>
    <mergeCell ref="G526:I526"/>
    <mergeCell ref="J526:M526"/>
    <mergeCell ref="D523:F523"/>
    <mergeCell ref="G523:I523"/>
    <mergeCell ref="J523:M523"/>
    <mergeCell ref="D524:F524"/>
    <mergeCell ref="G524:I524"/>
    <mergeCell ref="J524:M524"/>
    <mergeCell ref="D521:F521"/>
    <mergeCell ref="G521:I521"/>
    <mergeCell ref="J521:M521"/>
    <mergeCell ref="D522:F522"/>
    <mergeCell ref="G522:I522"/>
    <mergeCell ref="J522:M522"/>
    <mergeCell ref="D519:F519"/>
    <mergeCell ref="G519:I519"/>
    <mergeCell ref="J519:M519"/>
    <mergeCell ref="D520:F520"/>
    <mergeCell ref="G520:I520"/>
    <mergeCell ref="J520:M520"/>
    <mergeCell ref="D517:F517"/>
    <mergeCell ref="G517:I517"/>
    <mergeCell ref="J517:M517"/>
    <mergeCell ref="D518:F518"/>
    <mergeCell ref="G518:I518"/>
    <mergeCell ref="J518:M518"/>
    <mergeCell ref="D515:F515"/>
    <mergeCell ref="G515:I515"/>
    <mergeCell ref="J515:M515"/>
    <mergeCell ref="D516:F516"/>
    <mergeCell ref="G516:I516"/>
    <mergeCell ref="J516:M516"/>
    <mergeCell ref="D513:F513"/>
    <mergeCell ref="G513:I513"/>
    <mergeCell ref="J513:M513"/>
    <mergeCell ref="D514:F514"/>
    <mergeCell ref="G514:I514"/>
    <mergeCell ref="J514:M514"/>
    <mergeCell ref="D511:F511"/>
    <mergeCell ref="G511:I511"/>
    <mergeCell ref="J511:M511"/>
    <mergeCell ref="D512:F512"/>
    <mergeCell ref="G512:I512"/>
    <mergeCell ref="J512:M512"/>
    <mergeCell ref="D509:F509"/>
    <mergeCell ref="G509:I509"/>
    <mergeCell ref="J509:M509"/>
    <mergeCell ref="D510:F510"/>
    <mergeCell ref="G510:I510"/>
    <mergeCell ref="J510:M510"/>
    <mergeCell ref="D507:F507"/>
    <mergeCell ref="G507:I507"/>
    <mergeCell ref="J507:M507"/>
    <mergeCell ref="D508:F508"/>
    <mergeCell ref="G508:I508"/>
    <mergeCell ref="J508:M508"/>
    <mergeCell ref="D505:F505"/>
    <mergeCell ref="G505:I505"/>
    <mergeCell ref="J505:M505"/>
    <mergeCell ref="D506:F506"/>
    <mergeCell ref="G506:I506"/>
    <mergeCell ref="J506:M506"/>
    <mergeCell ref="D503:F503"/>
    <mergeCell ref="G503:I503"/>
    <mergeCell ref="J503:M503"/>
    <mergeCell ref="D504:F504"/>
    <mergeCell ref="G504:I504"/>
    <mergeCell ref="J504:M504"/>
    <mergeCell ref="D501:F501"/>
    <mergeCell ref="G501:I501"/>
    <mergeCell ref="J501:M501"/>
    <mergeCell ref="D502:F502"/>
    <mergeCell ref="G502:I502"/>
    <mergeCell ref="J502:M502"/>
    <mergeCell ref="D499:F499"/>
    <mergeCell ref="G499:I499"/>
    <mergeCell ref="J499:M499"/>
    <mergeCell ref="D500:F500"/>
    <mergeCell ref="G500:I500"/>
    <mergeCell ref="J500:M500"/>
    <mergeCell ref="D497:F497"/>
    <mergeCell ref="G497:I497"/>
    <mergeCell ref="J497:M497"/>
    <mergeCell ref="D498:F498"/>
    <mergeCell ref="G498:I498"/>
    <mergeCell ref="J498:M498"/>
    <mergeCell ref="D495:F495"/>
    <mergeCell ref="G495:I495"/>
    <mergeCell ref="J495:M495"/>
    <mergeCell ref="D496:F496"/>
    <mergeCell ref="G496:I496"/>
    <mergeCell ref="J496:M496"/>
    <mergeCell ref="D493:F493"/>
    <mergeCell ref="G493:I493"/>
    <mergeCell ref="J493:M493"/>
    <mergeCell ref="D494:F494"/>
    <mergeCell ref="G494:I494"/>
    <mergeCell ref="J494:M494"/>
    <mergeCell ref="D491:F491"/>
    <mergeCell ref="G491:I491"/>
    <mergeCell ref="J491:M491"/>
    <mergeCell ref="D492:F492"/>
    <mergeCell ref="G492:I492"/>
    <mergeCell ref="J492:M492"/>
    <mergeCell ref="D489:F489"/>
    <mergeCell ref="G489:I489"/>
    <mergeCell ref="J489:M489"/>
    <mergeCell ref="D490:F490"/>
    <mergeCell ref="G490:I490"/>
    <mergeCell ref="J490:M490"/>
    <mergeCell ref="D487:F487"/>
    <mergeCell ref="G487:I487"/>
    <mergeCell ref="J487:M487"/>
    <mergeCell ref="D488:F488"/>
    <mergeCell ref="G488:I488"/>
    <mergeCell ref="J488:M488"/>
    <mergeCell ref="D485:F485"/>
    <mergeCell ref="G485:I485"/>
    <mergeCell ref="J485:M485"/>
    <mergeCell ref="D486:F486"/>
    <mergeCell ref="G486:I486"/>
    <mergeCell ref="J486:M486"/>
    <mergeCell ref="D483:F483"/>
    <mergeCell ref="G483:I483"/>
    <mergeCell ref="J483:M483"/>
    <mergeCell ref="D484:F484"/>
    <mergeCell ref="G484:I484"/>
    <mergeCell ref="J484:M484"/>
    <mergeCell ref="D481:F481"/>
    <mergeCell ref="G481:I481"/>
    <mergeCell ref="J481:M481"/>
    <mergeCell ref="D482:F482"/>
    <mergeCell ref="G482:I482"/>
    <mergeCell ref="J482:M482"/>
    <mergeCell ref="D479:F479"/>
    <mergeCell ref="G479:I479"/>
    <mergeCell ref="J479:M479"/>
    <mergeCell ref="D480:F480"/>
    <mergeCell ref="G480:I480"/>
    <mergeCell ref="J480:M480"/>
    <mergeCell ref="D477:F477"/>
    <mergeCell ref="G477:I477"/>
    <mergeCell ref="J477:M477"/>
    <mergeCell ref="D478:F478"/>
    <mergeCell ref="G478:I478"/>
    <mergeCell ref="J478:M478"/>
    <mergeCell ref="D475:F475"/>
    <mergeCell ref="G475:I475"/>
    <mergeCell ref="J475:M475"/>
    <mergeCell ref="D476:F476"/>
    <mergeCell ref="G476:I476"/>
    <mergeCell ref="J476:M476"/>
    <mergeCell ref="D473:F473"/>
    <mergeCell ref="G473:I473"/>
    <mergeCell ref="J473:M473"/>
    <mergeCell ref="D474:F474"/>
    <mergeCell ref="G474:I474"/>
    <mergeCell ref="J474:M474"/>
    <mergeCell ref="D471:F471"/>
    <mergeCell ref="G471:I471"/>
    <mergeCell ref="J471:M471"/>
    <mergeCell ref="D472:F472"/>
    <mergeCell ref="G472:I472"/>
    <mergeCell ref="J472:M472"/>
    <mergeCell ref="D469:F469"/>
    <mergeCell ref="G469:I469"/>
    <mergeCell ref="J469:M469"/>
    <mergeCell ref="D470:F470"/>
    <mergeCell ref="G470:I470"/>
    <mergeCell ref="J470:M470"/>
    <mergeCell ref="D467:F467"/>
    <mergeCell ref="G467:I467"/>
    <mergeCell ref="J467:M467"/>
    <mergeCell ref="D468:F468"/>
    <mergeCell ref="G468:I468"/>
    <mergeCell ref="J468:M468"/>
    <mergeCell ref="D465:F465"/>
    <mergeCell ref="G465:I465"/>
    <mergeCell ref="J465:M465"/>
    <mergeCell ref="D466:F466"/>
    <mergeCell ref="G466:I466"/>
    <mergeCell ref="J466:M466"/>
    <mergeCell ref="D463:F463"/>
    <mergeCell ref="G463:I463"/>
    <mergeCell ref="J463:M463"/>
    <mergeCell ref="D464:F464"/>
    <mergeCell ref="G464:I464"/>
    <mergeCell ref="J464:M464"/>
    <mergeCell ref="D461:F461"/>
    <mergeCell ref="G461:I461"/>
    <mergeCell ref="J461:M461"/>
    <mergeCell ref="D462:F462"/>
    <mergeCell ref="G462:I462"/>
    <mergeCell ref="J462:M462"/>
    <mergeCell ref="D459:F459"/>
    <mergeCell ref="G459:I459"/>
    <mergeCell ref="J459:M459"/>
    <mergeCell ref="D460:F460"/>
    <mergeCell ref="G460:I460"/>
    <mergeCell ref="J460:M460"/>
    <mergeCell ref="D457:F457"/>
    <mergeCell ref="G457:I457"/>
    <mergeCell ref="J457:M457"/>
    <mergeCell ref="D458:F458"/>
    <mergeCell ref="G458:I458"/>
    <mergeCell ref="J458:M458"/>
    <mergeCell ref="D455:F455"/>
    <mergeCell ref="G455:I455"/>
    <mergeCell ref="J455:M455"/>
    <mergeCell ref="D456:F456"/>
    <mergeCell ref="G456:I456"/>
    <mergeCell ref="J456:M456"/>
    <mergeCell ref="D453:F453"/>
    <mergeCell ref="G453:I453"/>
    <mergeCell ref="J453:M453"/>
    <mergeCell ref="D454:F454"/>
    <mergeCell ref="G454:I454"/>
    <mergeCell ref="J454:M454"/>
    <mergeCell ref="D451:F451"/>
    <mergeCell ref="G451:I451"/>
    <mergeCell ref="J451:M451"/>
    <mergeCell ref="D452:F452"/>
    <mergeCell ref="G452:I452"/>
    <mergeCell ref="J452:M452"/>
    <mergeCell ref="D449:F449"/>
    <mergeCell ref="G449:I449"/>
    <mergeCell ref="J449:M449"/>
    <mergeCell ref="D450:F450"/>
    <mergeCell ref="G450:I450"/>
    <mergeCell ref="J450:M450"/>
    <mergeCell ref="D447:F447"/>
    <mergeCell ref="G447:I447"/>
    <mergeCell ref="J447:M447"/>
    <mergeCell ref="D448:F448"/>
    <mergeCell ref="G448:I448"/>
    <mergeCell ref="J448:M448"/>
    <mergeCell ref="D445:F445"/>
    <mergeCell ref="G445:I445"/>
    <mergeCell ref="J445:M445"/>
    <mergeCell ref="D446:F446"/>
    <mergeCell ref="G446:I446"/>
    <mergeCell ref="J446:M446"/>
    <mergeCell ref="D443:F443"/>
    <mergeCell ref="G443:I443"/>
    <mergeCell ref="J443:M443"/>
    <mergeCell ref="D444:F444"/>
    <mergeCell ref="G444:I444"/>
    <mergeCell ref="J444:M444"/>
    <mergeCell ref="D441:F441"/>
    <mergeCell ref="G441:I441"/>
    <mergeCell ref="J441:M441"/>
    <mergeCell ref="D442:F442"/>
    <mergeCell ref="G442:I442"/>
    <mergeCell ref="J442:M442"/>
    <mergeCell ref="D439:F439"/>
    <mergeCell ref="G439:I439"/>
    <mergeCell ref="J439:M439"/>
    <mergeCell ref="D440:F440"/>
    <mergeCell ref="G440:I440"/>
    <mergeCell ref="J440:M440"/>
    <mergeCell ref="D437:F437"/>
    <mergeCell ref="G437:I437"/>
    <mergeCell ref="J437:M437"/>
    <mergeCell ref="D438:F438"/>
    <mergeCell ref="G438:I438"/>
    <mergeCell ref="J438:M438"/>
    <mergeCell ref="D435:F435"/>
    <mergeCell ref="G435:I435"/>
    <mergeCell ref="J435:M435"/>
    <mergeCell ref="D436:F436"/>
    <mergeCell ref="G436:I436"/>
    <mergeCell ref="J436:M436"/>
    <mergeCell ref="D433:F433"/>
    <mergeCell ref="G433:I433"/>
    <mergeCell ref="J433:M433"/>
    <mergeCell ref="D434:F434"/>
    <mergeCell ref="G434:I434"/>
    <mergeCell ref="J434:M434"/>
    <mergeCell ref="D431:F431"/>
    <mergeCell ref="G431:I431"/>
    <mergeCell ref="J431:M431"/>
    <mergeCell ref="D432:F432"/>
    <mergeCell ref="G432:I432"/>
    <mergeCell ref="J432:M432"/>
    <mergeCell ref="D429:F429"/>
    <mergeCell ref="G429:I429"/>
    <mergeCell ref="J429:M429"/>
    <mergeCell ref="D430:F430"/>
    <mergeCell ref="G430:I430"/>
    <mergeCell ref="J430:M430"/>
    <mergeCell ref="D427:F427"/>
    <mergeCell ref="G427:I427"/>
    <mergeCell ref="J427:M427"/>
    <mergeCell ref="D428:F428"/>
    <mergeCell ref="G428:I428"/>
    <mergeCell ref="J428:M428"/>
    <mergeCell ref="D425:F425"/>
    <mergeCell ref="G425:I425"/>
    <mergeCell ref="J425:M425"/>
    <mergeCell ref="D426:F426"/>
    <mergeCell ref="G426:I426"/>
    <mergeCell ref="J426:M426"/>
    <mergeCell ref="D423:F423"/>
    <mergeCell ref="G423:I423"/>
    <mergeCell ref="J423:M423"/>
    <mergeCell ref="D424:F424"/>
    <mergeCell ref="G424:I424"/>
    <mergeCell ref="J424:M424"/>
    <mergeCell ref="D421:F421"/>
    <mergeCell ref="G421:I421"/>
    <mergeCell ref="J421:M421"/>
    <mergeCell ref="D422:F422"/>
    <mergeCell ref="G422:I422"/>
    <mergeCell ref="J422:M422"/>
    <mergeCell ref="D419:F419"/>
    <mergeCell ref="G419:I419"/>
    <mergeCell ref="J419:M419"/>
    <mergeCell ref="D420:F420"/>
    <mergeCell ref="G420:I420"/>
    <mergeCell ref="J420:M420"/>
    <mergeCell ref="D417:F417"/>
    <mergeCell ref="G417:I417"/>
    <mergeCell ref="J417:M417"/>
    <mergeCell ref="D418:F418"/>
    <mergeCell ref="G418:I418"/>
    <mergeCell ref="J418:M418"/>
    <mergeCell ref="D415:F415"/>
    <mergeCell ref="G415:I415"/>
    <mergeCell ref="J415:M415"/>
    <mergeCell ref="D416:F416"/>
    <mergeCell ref="G416:I416"/>
    <mergeCell ref="J416:M416"/>
    <mergeCell ref="D413:F413"/>
    <mergeCell ref="G413:I413"/>
    <mergeCell ref="J413:M413"/>
    <mergeCell ref="D414:F414"/>
    <mergeCell ref="G414:I414"/>
    <mergeCell ref="J414:M414"/>
    <mergeCell ref="D411:F411"/>
    <mergeCell ref="G411:I411"/>
    <mergeCell ref="J411:M411"/>
    <mergeCell ref="D412:F412"/>
    <mergeCell ref="G412:I412"/>
    <mergeCell ref="J412:M412"/>
    <mergeCell ref="D409:F409"/>
    <mergeCell ref="G409:I409"/>
    <mergeCell ref="J409:M409"/>
    <mergeCell ref="D410:F410"/>
    <mergeCell ref="G410:I410"/>
    <mergeCell ref="J410:M410"/>
    <mergeCell ref="D407:F407"/>
    <mergeCell ref="G407:I407"/>
    <mergeCell ref="J407:M407"/>
    <mergeCell ref="D408:F408"/>
    <mergeCell ref="G408:I408"/>
    <mergeCell ref="J408:M408"/>
    <mergeCell ref="D405:F405"/>
    <mergeCell ref="G405:I405"/>
    <mergeCell ref="J405:M405"/>
    <mergeCell ref="D406:F406"/>
    <mergeCell ref="G406:I406"/>
    <mergeCell ref="J406:M406"/>
    <mergeCell ref="D403:F403"/>
    <mergeCell ref="G403:I403"/>
    <mergeCell ref="J403:M403"/>
    <mergeCell ref="D404:F404"/>
    <mergeCell ref="G404:I404"/>
    <mergeCell ref="J404:M404"/>
    <mergeCell ref="D401:F401"/>
    <mergeCell ref="G401:I401"/>
    <mergeCell ref="J401:M401"/>
    <mergeCell ref="D402:F402"/>
    <mergeCell ref="G402:I402"/>
    <mergeCell ref="J402:M402"/>
    <mergeCell ref="D399:F399"/>
    <mergeCell ref="G399:I399"/>
    <mergeCell ref="J399:M399"/>
    <mergeCell ref="D400:F400"/>
    <mergeCell ref="G400:I400"/>
    <mergeCell ref="J400:M400"/>
    <mergeCell ref="D397:F397"/>
    <mergeCell ref="G397:I397"/>
    <mergeCell ref="J397:M397"/>
    <mergeCell ref="D398:F398"/>
    <mergeCell ref="G398:I398"/>
    <mergeCell ref="J398:M398"/>
    <mergeCell ref="D395:F395"/>
    <mergeCell ref="G395:I395"/>
    <mergeCell ref="J395:M395"/>
    <mergeCell ref="D396:F396"/>
    <mergeCell ref="G396:I396"/>
    <mergeCell ref="J396:M396"/>
    <mergeCell ref="D393:F393"/>
    <mergeCell ref="G393:I393"/>
    <mergeCell ref="J393:M393"/>
    <mergeCell ref="D394:F394"/>
    <mergeCell ref="G394:I394"/>
    <mergeCell ref="J394:M394"/>
    <mergeCell ref="D391:F391"/>
    <mergeCell ref="G391:I391"/>
    <mergeCell ref="J391:M391"/>
    <mergeCell ref="D392:F392"/>
    <mergeCell ref="G392:I392"/>
    <mergeCell ref="J392:M392"/>
    <mergeCell ref="D389:F389"/>
    <mergeCell ref="G389:I389"/>
    <mergeCell ref="J389:M389"/>
    <mergeCell ref="D390:F390"/>
    <mergeCell ref="G390:I390"/>
    <mergeCell ref="J390:M390"/>
    <mergeCell ref="D387:F387"/>
    <mergeCell ref="G387:I387"/>
    <mergeCell ref="J387:M387"/>
    <mergeCell ref="D388:F388"/>
    <mergeCell ref="G388:I388"/>
    <mergeCell ref="J388:M388"/>
    <mergeCell ref="D385:F385"/>
    <mergeCell ref="G385:I385"/>
    <mergeCell ref="J385:M385"/>
    <mergeCell ref="D386:F386"/>
    <mergeCell ref="G386:I386"/>
    <mergeCell ref="J386:M386"/>
    <mergeCell ref="D383:F383"/>
    <mergeCell ref="G383:I383"/>
    <mergeCell ref="J383:M383"/>
    <mergeCell ref="D384:F384"/>
    <mergeCell ref="G384:I384"/>
    <mergeCell ref="J384:M384"/>
    <mergeCell ref="D381:F381"/>
    <mergeCell ref="G381:I381"/>
    <mergeCell ref="J381:M381"/>
    <mergeCell ref="D382:F382"/>
    <mergeCell ref="G382:I382"/>
    <mergeCell ref="J382:M382"/>
    <mergeCell ref="D379:F379"/>
    <mergeCell ref="G379:I379"/>
    <mergeCell ref="J379:M379"/>
    <mergeCell ref="D380:F380"/>
    <mergeCell ref="G380:I380"/>
    <mergeCell ref="J380:M380"/>
    <mergeCell ref="D377:F377"/>
    <mergeCell ref="G377:I377"/>
    <mergeCell ref="J377:M377"/>
    <mergeCell ref="D378:F378"/>
    <mergeCell ref="G378:I378"/>
    <mergeCell ref="J378:M378"/>
    <mergeCell ref="D375:F375"/>
    <mergeCell ref="G375:I375"/>
    <mergeCell ref="J375:M375"/>
    <mergeCell ref="D376:F376"/>
    <mergeCell ref="G376:I376"/>
    <mergeCell ref="J376:M376"/>
    <mergeCell ref="D373:F373"/>
    <mergeCell ref="G373:I373"/>
    <mergeCell ref="J373:M373"/>
    <mergeCell ref="D374:F374"/>
    <mergeCell ref="G374:I374"/>
    <mergeCell ref="J374:M374"/>
    <mergeCell ref="D371:F371"/>
    <mergeCell ref="G371:I371"/>
    <mergeCell ref="J371:M371"/>
    <mergeCell ref="D372:F372"/>
    <mergeCell ref="G372:I372"/>
    <mergeCell ref="J372:M372"/>
    <mergeCell ref="D369:F369"/>
    <mergeCell ref="G369:I369"/>
    <mergeCell ref="J369:M369"/>
    <mergeCell ref="D370:F370"/>
    <mergeCell ref="G370:I370"/>
    <mergeCell ref="J370:M370"/>
    <mergeCell ref="D367:F367"/>
    <mergeCell ref="G367:I367"/>
    <mergeCell ref="J367:M367"/>
    <mergeCell ref="D368:F368"/>
    <mergeCell ref="G368:I368"/>
    <mergeCell ref="J368:M368"/>
    <mergeCell ref="D365:F365"/>
    <mergeCell ref="G365:I365"/>
    <mergeCell ref="J365:M365"/>
    <mergeCell ref="D366:F366"/>
    <mergeCell ref="G366:I366"/>
    <mergeCell ref="J366:M366"/>
    <mergeCell ref="D363:F363"/>
    <mergeCell ref="G363:I363"/>
    <mergeCell ref="J363:M363"/>
    <mergeCell ref="D364:F364"/>
    <mergeCell ref="G364:I364"/>
    <mergeCell ref="J364:M364"/>
    <mergeCell ref="D361:F361"/>
    <mergeCell ref="G361:I361"/>
    <mergeCell ref="J361:M361"/>
    <mergeCell ref="D362:F362"/>
    <mergeCell ref="G362:I362"/>
    <mergeCell ref="J362:M362"/>
    <mergeCell ref="D359:F359"/>
    <mergeCell ref="G359:I359"/>
    <mergeCell ref="J359:M359"/>
    <mergeCell ref="D360:F360"/>
    <mergeCell ref="G360:I360"/>
    <mergeCell ref="J360:M360"/>
    <mergeCell ref="D357:F357"/>
    <mergeCell ref="G357:I357"/>
    <mergeCell ref="J357:M357"/>
    <mergeCell ref="D358:F358"/>
    <mergeCell ref="G358:I358"/>
    <mergeCell ref="J358:M358"/>
    <mergeCell ref="D355:F355"/>
    <mergeCell ref="G355:I355"/>
    <mergeCell ref="J355:M355"/>
    <mergeCell ref="D356:F356"/>
    <mergeCell ref="G356:I356"/>
    <mergeCell ref="J356:M356"/>
    <mergeCell ref="D353:F353"/>
    <mergeCell ref="G353:I353"/>
    <mergeCell ref="J353:M353"/>
    <mergeCell ref="D354:F354"/>
    <mergeCell ref="G354:I354"/>
    <mergeCell ref="J354:M354"/>
    <mergeCell ref="D351:F351"/>
    <mergeCell ref="G351:I351"/>
    <mergeCell ref="J351:M351"/>
    <mergeCell ref="D352:F352"/>
    <mergeCell ref="G352:I352"/>
    <mergeCell ref="J352:M352"/>
    <mergeCell ref="D349:F349"/>
    <mergeCell ref="G349:I349"/>
    <mergeCell ref="J349:M349"/>
    <mergeCell ref="D350:F350"/>
    <mergeCell ref="G350:I350"/>
    <mergeCell ref="J350:M350"/>
    <mergeCell ref="D347:F347"/>
    <mergeCell ref="G347:I347"/>
    <mergeCell ref="J347:M347"/>
    <mergeCell ref="D348:F348"/>
    <mergeCell ref="G348:I348"/>
    <mergeCell ref="J348:M348"/>
    <mergeCell ref="D345:F345"/>
    <mergeCell ref="G345:I345"/>
    <mergeCell ref="J345:M345"/>
    <mergeCell ref="D346:F346"/>
    <mergeCell ref="G346:I346"/>
    <mergeCell ref="J346:M346"/>
    <mergeCell ref="D343:F343"/>
    <mergeCell ref="G343:I343"/>
    <mergeCell ref="J343:M343"/>
    <mergeCell ref="D344:F344"/>
    <mergeCell ref="G344:I344"/>
    <mergeCell ref="J344:M344"/>
    <mergeCell ref="D341:F341"/>
    <mergeCell ref="G341:I341"/>
    <mergeCell ref="J341:M341"/>
    <mergeCell ref="D342:F342"/>
    <mergeCell ref="G342:I342"/>
    <mergeCell ref="J342:M342"/>
    <mergeCell ref="D339:F339"/>
    <mergeCell ref="G339:I339"/>
    <mergeCell ref="J339:M339"/>
    <mergeCell ref="D340:F340"/>
    <mergeCell ref="G340:I340"/>
    <mergeCell ref="J340:M340"/>
    <mergeCell ref="D337:F337"/>
    <mergeCell ref="G337:I337"/>
    <mergeCell ref="J337:M337"/>
    <mergeCell ref="D338:F338"/>
    <mergeCell ref="G338:I338"/>
    <mergeCell ref="J338:M338"/>
    <mergeCell ref="D335:F335"/>
    <mergeCell ref="G335:I335"/>
    <mergeCell ref="J335:M335"/>
    <mergeCell ref="D336:F336"/>
    <mergeCell ref="G336:I336"/>
    <mergeCell ref="J336:M336"/>
    <mergeCell ref="D333:F333"/>
    <mergeCell ref="G333:I333"/>
    <mergeCell ref="J333:M333"/>
    <mergeCell ref="D334:F334"/>
    <mergeCell ref="G334:I334"/>
    <mergeCell ref="J334:M334"/>
    <mergeCell ref="D331:F331"/>
    <mergeCell ref="G331:I331"/>
    <mergeCell ref="J331:M331"/>
    <mergeCell ref="D332:F332"/>
    <mergeCell ref="G332:I332"/>
    <mergeCell ref="J332:M332"/>
    <mergeCell ref="D329:F329"/>
    <mergeCell ref="G329:I329"/>
    <mergeCell ref="J329:M329"/>
    <mergeCell ref="D330:F330"/>
    <mergeCell ref="G330:I330"/>
    <mergeCell ref="J330:M330"/>
    <mergeCell ref="D327:F327"/>
    <mergeCell ref="G327:I327"/>
    <mergeCell ref="J327:M327"/>
    <mergeCell ref="D328:F328"/>
    <mergeCell ref="G328:I328"/>
    <mergeCell ref="J328:M328"/>
    <mergeCell ref="D325:F325"/>
    <mergeCell ref="G325:I325"/>
    <mergeCell ref="J325:M325"/>
    <mergeCell ref="D326:F326"/>
    <mergeCell ref="G326:I326"/>
    <mergeCell ref="J326:M326"/>
    <mergeCell ref="D323:F323"/>
    <mergeCell ref="G323:I323"/>
    <mergeCell ref="J323:M323"/>
    <mergeCell ref="D324:F324"/>
    <mergeCell ref="G324:I324"/>
    <mergeCell ref="J324:M324"/>
    <mergeCell ref="D321:F321"/>
    <mergeCell ref="G321:I321"/>
    <mergeCell ref="J321:M321"/>
    <mergeCell ref="D322:F322"/>
    <mergeCell ref="G322:I322"/>
    <mergeCell ref="J322:M322"/>
    <mergeCell ref="D319:F319"/>
    <mergeCell ref="G319:I319"/>
    <mergeCell ref="J319:M319"/>
    <mergeCell ref="D320:F320"/>
    <mergeCell ref="G320:I320"/>
    <mergeCell ref="J320:M320"/>
    <mergeCell ref="D317:F317"/>
    <mergeCell ref="G317:I317"/>
    <mergeCell ref="J317:M317"/>
    <mergeCell ref="D318:F318"/>
    <mergeCell ref="G318:I318"/>
    <mergeCell ref="J318:M318"/>
    <mergeCell ref="D315:F315"/>
    <mergeCell ref="G315:I315"/>
    <mergeCell ref="J315:M315"/>
    <mergeCell ref="D316:F316"/>
    <mergeCell ref="G316:I316"/>
    <mergeCell ref="J316:M316"/>
    <mergeCell ref="D313:F313"/>
    <mergeCell ref="G313:I313"/>
    <mergeCell ref="J313:M313"/>
    <mergeCell ref="D314:F314"/>
    <mergeCell ref="G314:I314"/>
    <mergeCell ref="J314:M314"/>
    <mergeCell ref="D311:F311"/>
    <mergeCell ref="G311:I311"/>
    <mergeCell ref="J311:M311"/>
    <mergeCell ref="D312:F312"/>
    <mergeCell ref="G312:I312"/>
    <mergeCell ref="J312:M312"/>
    <mergeCell ref="D309:F309"/>
    <mergeCell ref="G309:I309"/>
    <mergeCell ref="J309:M309"/>
    <mergeCell ref="D310:F310"/>
    <mergeCell ref="G310:I310"/>
    <mergeCell ref="J310:M310"/>
    <mergeCell ref="D307:F307"/>
    <mergeCell ref="G307:I307"/>
    <mergeCell ref="J307:M307"/>
    <mergeCell ref="D308:F308"/>
    <mergeCell ref="G308:I308"/>
    <mergeCell ref="J308:M308"/>
    <mergeCell ref="D305:F305"/>
    <mergeCell ref="G305:I305"/>
    <mergeCell ref="J305:M305"/>
    <mergeCell ref="D306:F306"/>
    <mergeCell ref="G306:I306"/>
    <mergeCell ref="J306:M306"/>
    <mergeCell ref="D303:F303"/>
    <mergeCell ref="G303:I303"/>
    <mergeCell ref="J303:M303"/>
    <mergeCell ref="D304:F304"/>
    <mergeCell ref="G304:I304"/>
    <mergeCell ref="J304:M304"/>
    <mergeCell ref="D301:F301"/>
    <mergeCell ref="G301:I301"/>
    <mergeCell ref="J301:M301"/>
    <mergeCell ref="D302:F302"/>
    <mergeCell ref="G302:I302"/>
    <mergeCell ref="J302:M302"/>
    <mergeCell ref="D299:F299"/>
    <mergeCell ref="G299:I299"/>
    <mergeCell ref="J299:M299"/>
    <mergeCell ref="D300:F300"/>
    <mergeCell ref="G300:I300"/>
    <mergeCell ref="J300:M300"/>
    <mergeCell ref="D297:F297"/>
    <mergeCell ref="G297:I297"/>
    <mergeCell ref="J297:M297"/>
    <mergeCell ref="D298:F298"/>
    <mergeCell ref="G298:I298"/>
    <mergeCell ref="J298:M298"/>
    <mergeCell ref="D295:F295"/>
    <mergeCell ref="G295:I295"/>
    <mergeCell ref="J295:M295"/>
    <mergeCell ref="D296:F296"/>
    <mergeCell ref="G296:I296"/>
    <mergeCell ref="J296:M296"/>
    <mergeCell ref="D293:F293"/>
    <mergeCell ref="G293:I293"/>
    <mergeCell ref="J293:M293"/>
    <mergeCell ref="D294:F294"/>
    <mergeCell ref="G294:I294"/>
    <mergeCell ref="J294:M294"/>
    <mergeCell ref="D291:F291"/>
    <mergeCell ref="G291:I291"/>
    <mergeCell ref="J291:M291"/>
    <mergeCell ref="D292:F292"/>
    <mergeCell ref="G292:I292"/>
    <mergeCell ref="J292:M292"/>
    <mergeCell ref="D289:F289"/>
    <mergeCell ref="G289:I289"/>
    <mergeCell ref="J289:M289"/>
    <mergeCell ref="D290:F290"/>
    <mergeCell ref="G290:I290"/>
    <mergeCell ref="J290:M290"/>
    <mergeCell ref="D287:F287"/>
    <mergeCell ref="G287:I287"/>
    <mergeCell ref="J287:M287"/>
    <mergeCell ref="D288:F288"/>
    <mergeCell ref="G288:I288"/>
    <mergeCell ref="J288:M288"/>
    <mergeCell ref="D285:F285"/>
    <mergeCell ref="G285:I285"/>
    <mergeCell ref="J285:M285"/>
    <mergeCell ref="D286:F286"/>
    <mergeCell ref="G286:I286"/>
    <mergeCell ref="J286:M286"/>
    <mergeCell ref="D283:F283"/>
    <mergeCell ref="G283:I283"/>
    <mergeCell ref="J283:M283"/>
    <mergeCell ref="D284:F284"/>
    <mergeCell ref="G284:I284"/>
    <mergeCell ref="J284:M284"/>
    <mergeCell ref="D281:F281"/>
    <mergeCell ref="G281:I281"/>
    <mergeCell ref="J281:M281"/>
    <mergeCell ref="D282:F282"/>
    <mergeCell ref="G282:I282"/>
    <mergeCell ref="J282:M282"/>
    <mergeCell ref="D279:F279"/>
    <mergeCell ref="G279:I279"/>
    <mergeCell ref="J279:M279"/>
    <mergeCell ref="D280:F280"/>
    <mergeCell ref="G280:I280"/>
    <mergeCell ref="J280:M280"/>
    <mergeCell ref="D277:F277"/>
    <mergeCell ref="G277:I277"/>
    <mergeCell ref="J277:M277"/>
    <mergeCell ref="D278:F278"/>
    <mergeCell ref="G278:I278"/>
    <mergeCell ref="J278:M278"/>
    <mergeCell ref="D275:F275"/>
    <mergeCell ref="G275:I275"/>
    <mergeCell ref="J275:M275"/>
    <mergeCell ref="D276:F276"/>
    <mergeCell ref="G276:I276"/>
    <mergeCell ref="J276:M276"/>
    <mergeCell ref="D273:F273"/>
    <mergeCell ref="G273:I273"/>
    <mergeCell ref="J273:M273"/>
    <mergeCell ref="D274:F274"/>
    <mergeCell ref="G274:I274"/>
    <mergeCell ref="J274:M274"/>
    <mergeCell ref="D271:F271"/>
    <mergeCell ref="G271:I271"/>
    <mergeCell ref="J271:M271"/>
    <mergeCell ref="D272:F272"/>
    <mergeCell ref="G272:I272"/>
    <mergeCell ref="J272:M272"/>
    <mergeCell ref="D269:F269"/>
    <mergeCell ref="G269:I269"/>
    <mergeCell ref="J269:M269"/>
    <mergeCell ref="D270:F270"/>
    <mergeCell ref="G270:I270"/>
    <mergeCell ref="J270:M270"/>
    <mergeCell ref="D267:F267"/>
    <mergeCell ref="G267:I267"/>
    <mergeCell ref="J267:M267"/>
    <mergeCell ref="D268:F268"/>
    <mergeCell ref="G268:I268"/>
    <mergeCell ref="J268:M268"/>
    <mergeCell ref="D265:F265"/>
    <mergeCell ref="G265:I265"/>
    <mergeCell ref="J265:M265"/>
    <mergeCell ref="D266:F266"/>
    <mergeCell ref="G266:I266"/>
    <mergeCell ref="J266:M266"/>
    <mergeCell ref="D263:F263"/>
    <mergeCell ref="G263:I263"/>
    <mergeCell ref="J263:M263"/>
    <mergeCell ref="D264:F264"/>
    <mergeCell ref="G264:I264"/>
    <mergeCell ref="J264:M264"/>
    <mergeCell ref="D261:F261"/>
    <mergeCell ref="G261:I261"/>
    <mergeCell ref="J261:M261"/>
    <mergeCell ref="D262:F262"/>
    <mergeCell ref="G262:I262"/>
    <mergeCell ref="J262:M262"/>
    <mergeCell ref="D259:F259"/>
    <mergeCell ref="G259:I259"/>
    <mergeCell ref="J259:M259"/>
    <mergeCell ref="D260:F260"/>
    <mergeCell ref="G260:I260"/>
    <mergeCell ref="J260:M260"/>
    <mergeCell ref="D257:F257"/>
    <mergeCell ref="G257:I257"/>
    <mergeCell ref="J257:M257"/>
    <mergeCell ref="D258:F258"/>
    <mergeCell ref="G258:I258"/>
    <mergeCell ref="J258:M258"/>
    <mergeCell ref="D255:F255"/>
    <mergeCell ref="G255:I255"/>
    <mergeCell ref="J255:M255"/>
    <mergeCell ref="D256:F256"/>
    <mergeCell ref="G256:I256"/>
    <mergeCell ref="J256:M256"/>
    <mergeCell ref="D253:F253"/>
    <mergeCell ref="G253:I253"/>
    <mergeCell ref="J253:M253"/>
    <mergeCell ref="D254:F254"/>
    <mergeCell ref="G254:I254"/>
    <mergeCell ref="J254:M254"/>
    <mergeCell ref="D251:F251"/>
    <mergeCell ref="G251:I251"/>
    <mergeCell ref="J251:M251"/>
    <mergeCell ref="D252:F252"/>
    <mergeCell ref="G252:I252"/>
    <mergeCell ref="J252:M252"/>
    <mergeCell ref="D249:F249"/>
    <mergeCell ref="G249:I249"/>
    <mergeCell ref="J249:M249"/>
    <mergeCell ref="D250:F250"/>
    <mergeCell ref="G250:I250"/>
    <mergeCell ref="J250:M250"/>
    <mergeCell ref="D247:F247"/>
    <mergeCell ref="G247:I247"/>
    <mergeCell ref="J247:M247"/>
    <mergeCell ref="D248:F248"/>
    <mergeCell ref="G248:I248"/>
    <mergeCell ref="J248:M248"/>
    <mergeCell ref="D245:F245"/>
    <mergeCell ref="G245:I245"/>
    <mergeCell ref="J245:M245"/>
    <mergeCell ref="D246:F246"/>
    <mergeCell ref="G246:I246"/>
    <mergeCell ref="J246:M246"/>
    <mergeCell ref="D243:F243"/>
    <mergeCell ref="G243:I243"/>
    <mergeCell ref="J243:M243"/>
    <mergeCell ref="D244:F244"/>
    <mergeCell ref="G244:I244"/>
    <mergeCell ref="J244:M244"/>
    <mergeCell ref="D241:F241"/>
    <mergeCell ref="G241:I241"/>
    <mergeCell ref="J241:M241"/>
    <mergeCell ref="D242:F242"/>
    <mergeCell ref="G242:I242"/>
    <mergeCell ref="J242:M242"/>
    <mergeCell ref="D239:F239"/>
    <mergeCell ref="G239:I239"/>
    <mergeCell ref="J239:M239"/>
    <mergeCell ref="D240:F240"/>
    <mergeCell ref="G240:I240"/>
    <mergeCell ref="J240:M240"/>
    <mergeCell ref="D237:F237"/>
    <mergeCell ref="G237:I237"/>
    <mergeCell ref="J237:M237"/>
    <mergeCell ref="D238:F238"/>
    <mergeCell ref="G238:I238"/>
    <mergeCell ref="J238:M238"/>
    <mergeCell ref="D235:F235"/>
    <mergeCell ref="G235:I235"/>
    <mergeCell ref="J235:M235"/>
    <mergeCell ref="D236:F236"/>
    <mergeCell ref="G236:I236"/>
    <mergeCell ref="J236:M236"/>
    <mergeCell ref="D233:F233"/>
    <mergeCell ref="G233:I233"/>
    <mergeCell ref="J233:M233"/>
    <mergeCell ref="D234:F234"/>
    <mergeCell ref="G234:I234"/>
    <mergeCell ref="J234:M234"/>
    <mergeCell ref="D231:F231"/>
    <mergeCell ref="G231:I231"/>
    <mergeCell ref="J231:M231"/>
    <mergeCell ref="D232:F232"/>
    <mergeCell ref="G232:I232"/>
    <mergeCell ref="J232:M232"/>
    <mergeCell ref="D229:F229"/>
    <mergeCell ref="G229:I229"/>
    <mergeCell ref="J229:M229"/>
    <mergeCell ref="D230:F230"/>
    <mergeCell ref="G230:I230"/>
    <mergeCell ref="J230:M230"/>
    <mergeCell ref="D227:F227"/>
    <mergeCell ref="G227:I227"/>
    <mergeCell ref="J227:M227"/>
    <mergeCell ref="D228:F228"/>
    <mergeCell ref="G228:I228"/>
    <mergeCell ref="J228:M228"/>
    <mergeCell ref="D225:F225"/>
    <mergeCell ref="G225:I225"/>
    <mergeCell ref="J225:M225"/>
    <mergeCell ref="D226:F226"/>
    <mergeCell ref="G226:I226"/>
    <mergeCell ref="J226:M226"/>
    <mergeCell ref="D223:F223"/>
    <mergeCell ref="G223:I223"/>
    <mergeCell ref="J223:M223"/>
    <mergeCell ref="D224:F224"/>
    <mergeCell ref="G224:I224"/>
    <mergeCell ref="J224:M224"/>
    <mergeCell ref="D221:F221"/>
    <mergeCell ref="G221:I221"/>
    <mergeCell ref="J221:M221"/>
    <mergeCell ref="D222:F222"/>
    <mergeCell ref="G222:I222"/>
    <mergeCell ref="J222:M222"/>
    <mergeCell ref="D219:F219"/>
    <mergeCell ref="G219:I219"/>
    <mergeCell ref="J219:M219"/>
    <mergeCell ref="D220:F220"/>
    <mergeCell ref="G220:I220"/>
    <mergeCell ref="J220:M220"/>
    <mergeCell ref="D217:F217"/>
    <mergeCell ref="G217:I217"/>
    <mergeCell ref="J217:M217"/>
    <mergeCell ref="D218:F218"/>
    <mergeCell ref="G218:I218"/>
    <mergeCell ref="J218:M218"/>
    <mergeCell ref="D215:F215"/>
    <mergeCell ref="G215:I215"/>
    <mergeCell ref="J215:M215"/>
    <mergeCell ref="D216:F216"/>
    <mergeCell ref="G216:I216"/>
    <mergeCell ref="J216:M216"/>
    <mergeCell ref="D213:F213"/>
    <mergeCell ref="G213:I213"/>
    <mergeCell ref="J213:M213"/>
    <mergeCell ref="D214:F214"/>
    <mergeCell ref="G214:I214"/>
    <mergeCell ref="J214:M214"/>
    <mergeCell ref="D211:F211"/>
    <mergeCell ref="G211:I211"/>
    <mergeCell ref="J211:M211"/>
    <mergeCell ref="D212:F212"/>
    <mergeCell ref="G212:I212"/>
    <mergeCell ref="J212:M212"/>
    <mergeCell ref="D209:F209"/>
    <mergeCell ref="G209:I209"/>
    <mergeCell ref="J209:M209"/>
    <mergeCell ref="D210:F210"/>
    <mergeCell ref="G210:I210"/>
    <mergeCell ref="J210:M210"/>
    <mergeCell ref="D207:F207"/>
    <mergeCell ref="G207:I207"/>
    <mergeCell ref="J207:M207"/>
    <mergeCell ref="D208:F208"/>
    <mergeCell ref="G208:I208"/>
    <mergeCell ref="J208:M208"/>
    <mergeCell ref="D205:F205"/>
    <mergeCell ref="G205:I205"/>
    <mergeCell ref="J205:M205"/>
    <mergeCell ref="D206:F206"/>
    <mergeCell ref="G206:I206"/>
    <mergeCell ref="J206:M206"/>
    <mergeCell ref="D203:F203"/>
    <mergeCell ref="G203:I203"/>
    <mergeCell ref="J203:M203"/>
    <mergeCell ref="D204:F204"/>
    <mergeCell ref="G204:I204"/>
    <mergeCell ref="J204:M204"/>
    <mergeCell ref="D201:F201"/>
    <mergeCell ref="G201:I201"/>
    <mergeCell ref="J201:M201"/>
    <mergeCell ref="D202:F202"/>
    <mergeCell ref="G202:I202"/>
    <mergeCell ref="J202:M202"/>
    <mergeCell ref="D199:F199"/>
    <mergeCell ref="G199:I199"/>
    <mergeCell ref="J199:M199"/>
    <mergeCell ref="D200:F200"/>
    <mergeCell ref="G200:I200"/>
    <mergeCell ref="J200:M200"/>
    <mergeCell ref="D197:F197"/>
    <mergeCell ref="G197:I197"/>
    <mergeCell ref="J197:M197"/>
    <mergeCell ref="D198:F198"/>
    <mergeCell ref="G198:I198"/>
    <mergeCell ref="J198:M198"/>
    <mergeCell ref="D195:F195"/>
    <mergeCell ref="G195:I195"/>
    <mergeCell ref="J195:M195"/>
    <mergeCell ref="D196:F196"/>
    <mergeCell ref="G196:I196"/>
    <mergeCell ref="J196:M196"/>
    <mergeCell ref="D193:F193"/>
    <mergeCell ref="G193:I193"/>
    <mergeCell ref="J193:M193"/>
    <mergeCell ref="D194:F194"/>
    <mergeCell ref="G194:I194"/>
    <mergeCell ref="J194:M194"/>
    <mergeCell ref="D191:F191"/>
    <mergeCell ref="G191:I191"/>
    <mergeCell ref="J191:M191"/>
    <mergeCell ref="D192:F192"/>
    <mergeCell ref="G192:I192"/>
    <mergeCell ref="J192:M192"/>
    <mergeCell ref="D189:F189"/>
    <mergeCell ref="G189:I189"/>
    <mergeCell ref="J189:M189"/>
    <mergeCell ref="D190:F190"/>
    <mergeCell ref="G190:I190"/>
    <mergeCell ref="J190:M190"/>
    <mergeCell ref="D187:F187"/>
    <mergeCell ref="G187:I187"/>
    <mergeCell ref="J187:M187"/>
    <mergeCell ref="D188:F188"/>
    <mergeCell ref="G188:I188"/>
    <mergeCell ref="J188:M188"/>
    <mergeCell ref="D185:F185"/>
    <mergeCell ref="G185:I185"/>
    <mergeCell ref="J185:M185"/>
    <mergeCell ref="D186:F186"/>
    <mergeCell ref="G186:I186"/>
    <mergeCell ref="J186:M186"/>
    <mergeCell ref="D183:F183"/>
    <mergeCell ref="G183:I183"/>
    <mergeCell ref="J183:M183"/>
    <mergeCell ref="D184:F184"/>
    <mergeCell ref="G184:I184"/>
    <mergeCell ref="J184:M184"/>
    <mergeCell ref="D181:F181"/>
    <mergeCell ref="G181:I181"/>
    <mergeCell ref="J181:M181"/>
    <mergeCell ref="D182:F182"/>
    <mergeCell ref="G182:I182"/>
    <mergeCell ref="J182:M182"/>
    <mergeCell ref="D179:F179"/>
    <mergeCell ref="G179:I179"/>
    <mergeCell ref="J179:M179"/>
    <mergeCell ref="D180:F180"/>
    <mergeCell ref="G180:I180"/>
    <mergeCell ref="J180:M180"/>
    <mergeCell ref="D177:F177"/>
    <mergeCell ref="G177:I177"/>
    <mergeCell ref="J177:M177"/>
    <mergeCell ref="D178:F178"/>
    <mergeCell ref="G178:I178"/>
    <mergeCell ref="J178:M178"/>
    <mergeCell ref="D175:F175"/>
    <mergeCell ref="G175:I175"/>
    <mergeCell ref="J175:M175"/>
    <mergeCell ref="D176:F176"/>
    <mergeCell ref="G176:I176"/>
    <mergeCell ref="J176:M176"/>
    <mergeCell ref="D173:F173"/>
    <mergeCell ref="G173:I173"/>
    <mergeCell ref="J173:M173"/>
    <mergeCell ref="D174:F174"/>
    <mergeCell ref="G174:I174"/>
    <mergeCell ref="J174:M174"/>
    <mergeCell ref="D171:F171"/>
    <mergeCell ref="G171:I171"/>
    <mergeCell ref="J171:M171"/>
    <mergeCell ref="D172:F172"/>
    <mergeCell ref="G172:I172"/>
    <mergeCell ref="J172:M172"/>
    <mergeCell ref="D169:F169"/>
    <mergeCell ref="G169:I169"/>
    <mergeCell ref="J169:M169"/>
    <mergeCell ref="D170:F170"/>
    <mergeCell ref="G170:I170"/>
    <mergeCell ref="J170:M170"/>
    <mergeCell ref="D167:F167"/>
    <mergeCell ref="G167:I167"/>
    <mergeCell ref="J167:M167"/>
    <mergeCell ref="D168:F168"/>
    <mergeCell ref="G168:I168"/>
    <mergeCell ref="J168:M168"/>
    <mergeCell ref="D165:F165"/>
    <mergeCell ref="G165:I165"/>
    <mergeCell ref="J165:M165"/>
    <mergeCell ref="D166:F166"/>
    <mergeCell ref="G166:I166"/>
    <mergeCell ref="J166:M166"/>
    <mergeCell ref="D163:F163"/>
    <mergeCell ref="G163:I163"/>
    <mergeCell ref="J163:M163"/>
    <mergeCell ref="D164:F164"/>
    <mergeCell ref="G164:I164"/>
    <mergeCell ref="J164:M164"/>
    <mergeCell ref="D161:F161"/>
    <mergeCell ref="G161:I161"/>
    <mergeCell ref="J161:M161"/>
    <mergeCell ref="D162:F162"/>
    <mergeCell ref="G162:I162"/>
    <mergeCell ref="J162:M162"/>
    <mergeCell ref="D159:F159"/>
    <mergeCell ref="G159:I159"/>
    <mergeCell ref="J159:M159"/>
    <mergeCell ref="D160:F160"/>
    <mergeCell ref="G160:I160"/>
    <mergeCell ref="J160:M160"/>
    <mergeCell ref="D157:F157"/>
    <mergeCell ref="G157:I157"/>
    <mergeCell ref="J157:M157"/>
    <mergeCell ref="D158:F158"/>
    <mergeCell ref="G158:I158"/>
    <mergeCell ref="J158:M158"/>
    <mergeCell ref="D155:F155"/>
    <mergeCell ref="G155:I155"/>
    <mergeCell ref="J155:M155"/>
    <mergeCell ref="D156:F156"/>
    <mergeCell ref="G156:I156"/>
    <mergeCell ref="J156:M156"/>
    <mergeCell ref="D153:F153"/>
    <mergeCell ref="G153:I153"/>
    <mergeCell ref="J153:M153"/>
    <mergeCell ref="D154:F154"/>
    <mergeCell ref="G154:I154"/>
    <mergeCell ref="J154:M154"/>
    <mergeCell ref="D151:F151"/>
    <mergeCell ref="G151:I151"/>
    <mergeCell ref="J151:M151"/>
    <mergeCell ref="D152:F152"/>
    <mergeCell ref="G152:I152"/>
    <mergeCell ref="J152:M152"/>
    <mergeCell ref="D149:F149"/>
    <mergeCell ref="G149:I149"/>
    <mergeCell ref="J149:M149"/>
    <mergeCell ref="D150:F150"/>
    <mergeCell ref="G150:I150"/>
    <mergeCell ref="J150:M150"/>
    <mergeCell ref="D147:F147"/>
    <mergeCell ref="G147:I147"/>
    <mergeCell ref="J147:M147"/>
    <mergeCell ref="D148:F148"/>
    <mergeCell ref="G148:I148"/>
    <mergeCell ref="J148:M148"/>
    <mergeCell ref="D145:F145"/>
    <mergeCell ref="G145:I145"/>
    <mergeCell ref="J145:M145"/>
    <mergeCell ref="D146:F146"/>
    <mergeCell ref="G146:I146"/>
    <mergeCell ref="J146:M146"/>
    <mergeCell ref="D143:F143"/>
    <mergeCell ref="G143:I143"/>
    <mergeCell ref="J143:M143"/>
    <mergeCell ref="D144:F144"/>
    <mergeCell ref="G144:I144"/>
    <mergeCell ref="J144:M144"/>
    <mergeCell ref="D141:F141"/>
    <mergeCell ref="G141:I141"/>
    <mergeCell ref="J141:M141"/>
    <mergeCell ref="D142:F142"/>
    <mergeCell ref="G142:I142"/>
    <mergeCell ref="J142:M142"/>
    <mergeCell ref="D139:F139"/>
    <mergeCell ref="G139:I139"/>
    <mergeCell ref="J139:M139"/>
    <mergeCell ref="D140:F140"/>
    <mergeCell ref="G140:I140"/>
    <mergeCell ref="J140:M140"/>
    <mergeCell ref="D137:F137"/>
    <mergeCell ref="G137:I137"/>
    <mergeCell ref="J137:M137"/>
    <mergeCell ref="D138:F138"/>
    <mergeCell ref="G138:I138"/>
    <mergeCell ref="J138:M138"/>
    <mergeCell ref="D135:F135"/>
    <mergeCell ref="G135:I135"/>
    <mergeCell ref="J135:M135"/>
    <mergeCell ref="D136:F136"/>
    <mergeCell ref="G136:I136"/>
    <mergeCell ref="J136:M136"/>
    <mergeCell ref="D133:F133"/>
    <mergeCell ref="G133:I133"/>
    <mergeCell ref="J133:M133"/>
    <mergeCell ref="D134:F134"/>
    <mergeCell ref="G134:I134"/>
    <mergeCell ref="J134:M134"/>
    <mergeCell ref="D131:F131"/>
    <mergeCell ref="G131:I131"/>
    <mergeCell ref="J131:M131"/>
    <mergeCell ref="D132:F132"/>
    <mergeCell ref="G132:I132"/>
    <mergeCell ref="J132:M132"/>
    <mergeCell ref="D129:F129"/>
    <mergeCell ref="G129:I129"/>
    <mergeCell ref="J129:M129"/>
    <mergeCell ref="D130:F130"/>
    <mergeCell ref="G130:I130"/>
    <mergeCell ref="J130:M130"/>
    <mergeCell ref="D127:F127"/>
    <mergeCell ref="G127:I127"/>
    <mergeCell ref="J127:M127"/>
    <mergeCell ref="D128:F128"/>
    <mergeCell ref="G128:I128"/>
    <mergeCell ref="J128:M128"/>
    <mergeCell ref="D125:F125"/>
    <mergeCell ref="G125:I125"/>
    <mergeCell ref="J125:M125"/>
    <mergeCell ref="D126:F126"/>
    <mergeCell ref="G126:I126"/>
    <mergeCell ref="J126:M126"/>
    <mergeCell ref="D123:F123"/>
    <mergeCell ref="G123:I123"/>
    <mergeCell ref="J123:M123"/>
    <mergeCell ref="D124:F124"/>
    <mergeCell ref="G124:I124"/>
    <mergeCell ref="J124:M124"/>
    <mergeCell ref="D121:F121"/>
    <mergeCell ref="G121:I121"/>
    <mergeCell ref="J121:M121"/>
    <mergeCell ref="D122:F122"/>
    <mergeCell ref="G122:I122"/>
    <mergeCell ref="J122:M122"/>
    <mergeCell ref="D119:F119"/>
    <mergeCell ref="G119:I119"/>
    <mergeCell ref="J119:M119"/>
    <mergeCell ref="D120:F120"/>
    <mergeCell ref="G120:I120"/>
    <mergeCell ref="J120:M120"/>
    <mergeCell ref="D117:F117"/>
    <mergeCell ref="G117:I117"/>
    <mergeCell ref="J117:M117"/>
    <mergeCell ref="D118:F118"/>
    <mergeCell ref="G118:I118"/>
    <mergeCell ref="J118:M118"/>
    <mergeCell ref="D115:F115"/>
    <mergeCell ref="G115:I115"/>
    <mergeCell ref="J115:M115"/>
    <mergeCell ref="D116:F116"/>
    <mergeCell ref="G116:I116"/>
    <mergeCell ref="J116:M116"/>
    <mergeCell ref="D113:F113"/>
    <mergeCell ref="G113:I113"/>
    <mergeCell ref="J113:M113"/>
    <mergeCell ref="D114:F114"/>
    <mergeCell ref="G114:I114"/>
    <mergeCell ref="J114:M114"/>
    <mergeCell ref="D111:F111"/>
    <mergeCell ref="G111:I111"/>
    <mergeCell ref="J111:M111"/>
    <mergeCell ref="D112:F112"/>
    <mergeCell ref="G112:I112"/>
    <mergeCell ref="J112:M112"/>
    <mergeCell ref="D109:F109"/>
    <mergeCell ref="G109:I109"/>
    <mergeCell ref="J109:M109"/>
    <mergeCell ref="D110:F110"/>
    <mergeCell ref="G110:I110"/>
    <mergeCell ref="J110:M110"/>
    <mergeCell ref="D107:F107"/>
    <mergeCell ref="G107:I107"/>
    <mergeCell ref="J107:M107"/>
    <mergeCell ref="D108:F108"/>
    <mergeCell ref="G108:I108"/>
    <mergeCell ref="J108:M108"/>
    <mergeCell ref="D105:F105"/>
    <mergeCell ref="G105:I105"/>
    <mergeCell ref="J105:M105"/>
    <mergeCell ref="D106:F106"/>
    <mergeCell ref="G106:I106"/>
    <mergeCell ref="J106:M106"/>
    <mergeCell ref="D103:F103"/>
    <mergeCell ref="G103:I103"/>
    <mergeCell ref="J103:M103"/>
    <mergeCell ref="D104:F104"/>
    <mergeCell ref="G104:I104"/>
    <mergeCell ref="J104:M104"/>
    <mergeCell ref="D101:F101"/>
    <mergeCell ref="G101:I101"/>
    <mergeCell ref="J101:M101"/>
    <mergeCell ref="D102:F102"/>
    <mergeCell ref="G102:I102"/>
    <mergeCell ref="J102:M102"/>
    <mergeCell ref="D99:F99"/>
    <mergeCell ref="G99:I99"/>
    <mergeCell ref="J99:M99"/>
    <mergeCell ref="D100:F100"/>
    <mergeCell ref="G100:I100"/>
    <mergeCell ref="J100:M100"/>
    <mergeCell ref="D97:F97"/>
    <mergeCell ref="G97:I97"/>
    <mergeCell ref="J97:M97"/>
    <mergeCell ref="D98:F98"/>
    <mergeCell ref="G98:I98"/>
    <mergeCell ref="J98:M98"/>
    <mergeCell ref="D95:F95"/>
    <mergeCell ref="G95:I95"/>
    <mergeCell ref="J95:M95"/>
    <mergeCell ref="D96:F96"/>
    <mergeCell ref="G96:I96"/>
    <mergeCell ref="J96:M96"/>
    <mergeCell ref="D93:F93"/>
    <mergeCell ref="G93:I93"/>
    <mergeCell ref="J93:M93"/>
    <mergeCell ref="D94:F94"/>
    <mergeCell ref="G94:I94"/>
    <mergeCell ref="J94:M94"/>
    <mergeCell ref="D91:F91"/>
    <mergeCell ref="G91:I91"/>
    <mergeCell ref="J91:M91"/>
    <mergeCell ref="D92:F92"/>
    <mergeCell ref="G92:I92"/>
    <mergeCell ref="J92:M92"/>
    <mergeCell ref="D89:F89"/>
    <mergeCell ref="G89:I89"/>
    <mergeCell ref="J89:M89"/>
    <mergeCell ref="D90:F90"/>
    <mergeCell ref="G90:I90"/>
    <mergeCell ref="J90:M90"/>
    <mergeCell ref="D87:F87"/>
    <mergeCell ref="G87:I87"/>
    <mergeCell ref="J87:M87"/>
    <mergeCell ref="D88:F88"/>
    <mergeCell ref="G88:I88"/>
    <mergeCell ref="J88:M88"/>
    <mergeCell ref="D85:F85"/>
    <mergeCell ref="G85:I85"/>
    <mergeCell ref="J85:M85"/>
    <mergeCell ref="D86:F86"/>
    <mergeCell ref="G86:I86"/>
    <mergeCell ref="J86:M86"/>
    <mergeCell ref="D83:F83"/>
    <mergeCell ref="G83:I83"/>
    <mergeCell ref="J83:M83"/>
    <mergeCell ref="D84:F84"/>
    <mergeCell ref="G84:I84"/>
    <mergeCell ref="J84:M84"/>
    <mergeCell ref="D81:F81"/>
    <mergeCell ref="G81:I81"/>
    <mergeCell ref="J81:M81"/>
    <mergeCell ref="D82:F82"/>
    <mergeCell ref="G82:I82"/>
    <mergeCell ref="J82:M82"/>
    <mergeCell ref="D79:F79"/>
    <mergeCell ref="G79:I79"/>
    <mergeCell ref="J79:M79"/>
    <mergeCell ref="D80:F80"/>
    <mergeCell ref="G80:I80"/>
    <mergeCell ref="J80:M80"/>
    <mergeCell ref="D77:F77"/>
    <mergeCell ref="G77:I77"/>
    <mergeCell ref="J77:M77"/>
    <mergeCell ref="D78:F78"/>
    <mergeCell ref="G78:I78"/>
    <mergeCell ref="J78:M78"/>
    <mergeCell ref="D75:F75"/>
    <mergeCell ref="G75:I75"/>
    <mergeCell ref="J75:M75"/>
    <mergeCell ref="D76:F76"/>
    <mergeCell ref="G76:I76"/>
    <mergeCell ref="J76:M76"/>
    <mergeCell ref="D73:F73"/>
    <mergeCell ref="G73:I73"/>
    <mergeCell ref="J73:M73"/>
    <mergeCell ref="D74:F74"/>
    <mergeCell ref="G74:I74"/>
    <mergeCell ref="J74:M74"/>
    <mergeCell ref="D71:F71"/>
    <mergeCell ref="G71:I71"/>
    <mergeCell ref="J71:M71"/>
    <mergeCell ref="D72:F72"/>
    <mergeCell ref="G72:I72"/>
    <mergeCell ref="J72:M72"/>
    <mergeCell ref="D69:F69"/>
    <mergeCell ref="G69:I69"/>
    <mergeCell ref="J69:M69"/>
    <mergeCell ref="D70:F70"/>
    <mergeCell ref="G70:I70"/>
    <mergeCell ref="J70:M70"/>
    <mergeCell ref="D67:F67"/>
    <mergeCell ref="G67:I67"/>
    <mergeCell ref="J67:M67"/>
    <mergeCell ref="D68:F68"/>
    <mergeCell ref="G68:I68"/>
    <mergeCell ref="J68:M68"/>
    <mergeCell ref="D65:F65"/>
    <mergeCell ref="G65:I65"/>
    <mergeCell ref="J65:M65"/>
    <mergeCell ref="D66:F66"/>
    <mergeCell ref="G66:I66"/>
    <mergeCell ref="J66:M66"/>
    <mergeCell ref="D63:F63"/>
    <mergeCell ref="G63:I63"/>
    <mergeCell ref="J63:M63"/>
    <mergeCell ref="D64:F64"/>
    <mergeCell ref="G64:I64"/>
    <mergeCell ref="J64:M64"/>
    <mergeCell ref="D61:F61"/>
    <mergeCell ref="G61:I61"/>
    <mergeCell ref="J61:M61"/>
    <mergeCell ref="D62:F62"/>
    <mergeCell ref="G62:I62"/>
    <mergeCell ref="J62:M62"/>
    <mergeCell ref="D59:F59"/>
    <mergeCell ref="G59:I59"/>
    <mergeCell ref="J59:M59"/>
    <mergeCell ref="D60:F60"/>
    <mergeCell ref="G60:I60"/>
    <mergeCell ref="J60:M60"/>
    <mergeCell ref="D57:F57"/>
    <mergeCell ref="G57:I57"/>
    <mergeCell ref="J57:M57"/>
    <mergeCell ref="D58:F58"/>
    <mergeCell ref="G58:I58"/>
    <mergeCell ref="J58:M58"/>
    <mergeCell ref="D55:F55"/>
    <mergeCell ref="G55:I55"/>
    <mergeCell ref="J55:M55"/>
    <mergeCell ref="D56:F56"/>
    <mergeCell ref="G56:I56"/>
    <mergeCell ref="J56:M56"/>
    <mergeCell ref="D53:F53"/>
    <mergeCell ref="G53:I53"/>
    <mergeCell ref="J53:M53"/>
    <mergeCell ref="D54:F54"/>
    <mergeCell ref="G54:I54"/>
    <mergeCell ref="J54:M54"/>
    <mergeCell ref="D51:F51"/>
    <mergeCell ref="G51:I51"/>
    <mergeCell ref="J51:M51"/>
    <mergeCell ref="D52:F52"/>
    <mergeCell ref="G52:I52"/>
    <mergeCell ref="J52:M52"/>
    <mergeCell ref="D49:F49"/>
    <mergeCell ref="G49:I49"/>
    <mergeCell ref="J49:M49"/>
    <mergeCell ref="D50:F50"/>
    <mergeCell ref="G50:I50"/>
    <mergeCell ref="J50:M50"/>
    <mergeCell ref="D47:F47"/>
    <mergeCell ref="G47:I47"/>
    <mergeCell ref="J47:M47"/>
    <mergeCell ref="D48:F48"/>
    <mergeCell ref="G48:I48"/>
    <mergeCell ref="J48:M48"/>
    <mergeCell ref="D45:F45"/>
    <mergeCell ref="G45:I45"/>
    <mergeCell ref="J45:M45"/>
    <mergeCell ref="D46:F46"/>
    <mergeCell ref="G46:I46"/>
    <mergeCell ref="J46:M46"/>
    <mergeCell ref="D43:F43"/>
    <mergeCell ref="G43:I43"/>
    <mergeCell ref="J43:M43"/>
    <mergeCell ref="D44:F44"/>
    <mergeCell ref="G44:I44"/>
    <mergeCell ref="J44:M44"/>
    <mergeCell ref="D41:F41"/>
    <mergeCell ref="G41:I41"/>
    <mergeCell ref="J41:M41"/>
    <mergeCell ref="D42:F42"/>
    <mergeCell ref="G42:I42"/>
    <mergeCell ref="J42:M42"/>
    <mergeCell ref="D39:F39"/>
    <mergeCell ref="G39:I39"/>
    <mergeCell ref="J39:M39"/>
    <mergeCell ref="D40:F40"/>
    <mergeCell ref="G40:I40"/>
    <mergeCell ref="J40:M40"/>
    <mergeCell ref="D37:F37"/>
    <mergeCell ref="G37:I37"/>
    <mergeCell ref="J37:M37"/>
    <mergeCell ref="D38:F38"/>
    <mergeCell ref="G38:I38"/>
    <mergeCell ref="J38:M38"/>
    <mergeCell ref="D35:F35"/>
    <mergeCell ref="G35:I35"/>
    <mergeCell ref="J35:M35"/>
    <mergeCell ref="D36:F36"/>
    <mergeCell ref="G36:I36"/>
    <mergeCell ref="J36:M36"/>
    <mergeCell ref="D33:F33"/>
    <mergeCell ref="G33:I33"/>
    <mergeCell ref="J33:M33"/>
    <mergeCell ref="D34:F34"/>
    <mergeCell ref="G34:I34"/>
    <mergeCell ref="J34:M34"/>
    <mergeCell ref="D31:F31"/>
    <mergeCell ref="G31:I31"/>
    <mergeCell ref="J31:M31"/>
    <mergeCell ref="D32:F32"/>
    <mergeCell ref="G32:I32"/>
    <mergeCell ref="J32:M32"/>
    <mergeCell ref="D29:F29"/>
    <mergeCell ref="G29:I29"/>
    <mergeCell ref="J29:M29"/>
    <mergeCell ref="D30:F30"/>
    <mergeCell ref="G30:I30"/>
    <mergeCell ref="J30:M30"/>
    <mergeCell ref="D27:F27"/>
    <mergeCell ref="G27:I27"/>
    <mergeCell ref="J27:M27"/>
    <mergeCell ref="D28:F28"/>
    <mergeCell ref="G28:I28"/>
    <mergeCell ref="J28:M28"/>
    <mergeCell ref="D25:F25"/>
    <mergeCell ref="G25:I25"/>
    <mergeCell ref="J25:M25"/>
    <mergeCell ref="D26:F26"/>
    <mergeCell ref="G26:I26"/>
    <mergeCell ref="J26:M26"/>
    <mergeCell ref="D23:F23"/>
    <mergeCell ref="G23:I23"/>
    <mergeCell ref="J23:M23"/>
    <mergeCell ref="D24:F24"/>
    <mergeCell ref="G24:I24"/>
    <mergeCell ref="J24:M24"/>
    <mergeCell ref="D21:F21"/>
    <mergeCell ref="G21:I21"/>
    <mergeCell ref="J21:M21"/>
    <mergeCell ref="D22:F22"/>
    <mergeCell ref="G22:I22"/>
    <mergeCell ref="J22:M22"/>
    <mergeCell ref="D19:F19"/>
    <mergeCell ref="G19:I19"/>
    <mergeCell ref="J19:M19"/>
    <mergeCell ref="D20:F20"/>
    <mergeCell ref="G20:I20"/>
    <mergeCell ref="J20:M20"/>
    <mergeCell ref="D17:F17"/>
    <mergeCell ref="G17:I17"/>
    <mergeCell ref="J17:M17"/>
    <mergeCell ref="D18:F18"/>
    <mergeCell ref="G18:I18"/>
    <mergeCell ref="J18:M18"/>
    <mergeCell ref="D15:F15"/>
    <mergeCell ref="G15:I15"/>
    <mergeCell ref="J15:M15"/>
    <mergeCell ref="D16:F16"/>
    <mergeCell ref="G16:I16"/>
    <mergeCell ref="J16:M16"/>
    <mergeCell ref="D13:F13"/>
    <mergeCell ref="G13:I13"/>
    <mergeCell ref="J13:M13"/>
    <mergeCell ref="D14:F14"/>
    <mergeCell ref="G14:I14"/>
    <mergeCell ref="J14:M14"/>
    <mergeCell ref="D11:F11"/>
    <mergeCell ref="G11:I11"/>
    <mergeCell ref="J11:M11"/>
    <mergeCell ref="D12:F12"/>
    <mergeCell ref="G12:I12"/>
    <mergeCell ref="J12:M12"/>
    <mergeCell ref="D9:F9"/>
    <mergeCell ref="G9:I9"/>
    <mergeCell ref="J9:M9"/>
    <mergeCell ref="D10:F10"/>
    <mergeCell ref="G10:I10"/>
    <mergeCell ref="J10:M10"/>
    <mergeCell ref="D7:F7"/>
    <mergeCell ref="G7:I7"/>
    <mergeCell ref="J7:M7"/>
    <mergeCell ref="D8:F8"/>
    <mergeCell ref="G8:I8"/>
    <mergeCell ref="J8:M8"/>
    <mergeCell ref="B4:D4"/>
    <mergeCell ref="E4:K4"/>
    <mergeCell ref="D5:F5"/>
    <mergeCell ref="G5:I5"/>
    <mergeCell ref="J5:M5"/>
    <mergeCell ref="D6:F6"/>
    <mergeCell ref="G6:I6"/>
    <mergeCell ref="J6:M6"/>
    <mergeCell ref="B2:C2"/>
    <mergeCell ref="D2:M2"/>
    <mergeCell ref="B3:F3"/>
    <mergeCell ref="G3:H3"/>
    <mergeCell ref="I3:J3"/>
    <mergeCell ref="K3:M3"/>
  </mergeCells>
  <conditionalFormatting sqref="C1006">
    <cfRule type="cellIs" dxfId="3" priority="1" operator="equal">
      <formula>0</formula>
    </cfRule>
    <cfRule type="containsBlanks" dxfId="2" priority="2">
      <formula>LEN(TRIM(C1006))=0</formula>
    </cfRule>
    <cfRule type="cellIs" dxfId="1" priority="3" operator="notEqual">
      <formula>100</formula>
    </cfRule>
    <cfRule type="cellIs" dxfId="0" priority="4" operator="equal">
      <formula>100</formula>
    </cfRule>
  </conditionalFormatting>
  <dataValidations count="2">
    <dataValidation type="list" allowBlank="1" showInputMessage="1" showErrorMessage="1" sqref="G6:I1005">
      <formula1>$P$7:$P$14</formula1>
    </dataValidation>
    <dataValidation type="list" allowBlank="1" showInputMessage="1" showErrorMessage="1" sqref="K3:M3">
      <formula1>$P$3:$P$5</formula1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scale="75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W119"/>
  <sheetViews>
    <sheetView showGridLines="0" workbookViewId="0">
      <selection activeCell="C5" sqref="C5:W24"/>
    </sheetView>
  </sheetViews>
  <sheetFormatPr defaultRowHeight="15"/>
  <cols>
    <col min="1" max="1" width="4" customWidth="1"/>
    <col min="2" max="2" width="9.140625" style="100"/>
    <col min="3" max="3" width="33.5703125" customWidth="1"/>
    <col min="4" max="5" width="10.7109375" customWidth="1"/>
    <col min="6" max="9" width="5.7109375" customWidth="1"/>
    <col min="10" max="15" width="5.7109375" style="26" customWidth="1"/>
    <col min="16" max="23" width="5.7109375" customWidth="1"/>
  </cols>
  <sheetData>
    <row r="1" spans="1:23" s="26" customFormat="1" ht="15.75" thickBot="1">
      <c r="B1" s="100"/>
    </row>
    <row r="2" spans="1:23" ht="39.950000000000003" customHeight="1">
      <c r="A2" s="57"/>
      <c r="B2" s="461" t="s">
        <v>257</v>
      </c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3"/>
    </row>
    <row r="3" spans="1:23">
      <c r="A3" s="57"/>
      <c r="B3" s="469" t="s">
        <v>251</v>
      </c>
      <c r="C3" s="470" t="s">
        <v>252</v>
      </c>
      <c r="D3" s="470" t="s">
        <v>255</v>
      </c>
      <c r="E3" s="470"/>
      <c r="F3" s="470" t="s">
        <v>256</v>
      </c>
      <c r="G3" s="470"/>
      <c r="H3" s="470"/>
      <c r="I3" s="470"/>
      <c r="J3" s="470"/>
      <c r="K3" s="470"/>
      <c r="L3" s="470"/>
      <c r="M3" s="470"/>
      <c r="N3" s="470"/>
      <c r="O3" s="470"/>
      <c r="P3" s="470"/>
      <c r="Q3" s="470"/>
      <c r="R3" s="470"/>
      <c r="S3" s="470"/>
      <c r="T3" s="470"/>
      <c r="U3" s="470"/>
      <c r="V3" s="470"/>
      <c r="W3" s="471"/>
    </row>
    <row r="4" spans="1:23">
      <c r="A4" s="57"/>
      <c r="B4" s="469"/>
      <c r="C4" s="470"/>
      <c r="D4" s="59" t="s">
        <v>253</v>
      </c>
      <c r="E4" s="59" t="s">
        <v>254</v>
      </c>
      <c r="F4" s="59">
        <v>1</v>
      </c>
      <c r="G4" s="59">
        <v>2</v>
      </c>
      <c r="H4" s="119">
        <v>3</v>
      </c>
      <c r="I4" s="119">
        <v>4</v>
      </c>
      <c r="J4" s="119">
        <v>5</v>
      </c>
      <c r="K4" s="119">
        <v>6</v>
      </c>
      <c r="L4" s="119">
        <v>7</v>
      </c>
      <c r="M4" s="119">
        <v>8</v>
      </c>
      <c r="N4" s="119">
        <v>9</v>
      </c>
      <c r="O4" s="119">
        <v>10</v>
      </c>
      <c r="P4" s="119">
        <v>11</v>
      </c>
      <c r="Q4" s="119">
        <v>12</v>
      </c>
      <c r="R4" s="119">
        <v>13</v>
      </c>
      <c r="S4" s="119">
        <v>14</v>
      </c>
      <c r="T4" s="119">
        <v>15</v>
      </c>
      <c r="U4" s="119">
        <v>16</v>
      </c>
      <c r="V4" s="119">
        <v>17</v>
      </c>
      <c r="W4" s="106">
        <v>18</v>
      </c>
    </row>
    <row r="5" spans="1:23" ht="16.5">
      <c r="A5" s="57"/>
      <c r="B5" s="107">
        <v>1</v>
      </c>
      <c r="C5" s="149"/>
      <c r="D5" s="149"/>
      <c r="E5" s="150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2"/>
    </row>
    <row r="6" spans="1:23" ht="16.5">
      <c r="A6" s="57"/>
      <c r="B6" s="108">
        <v>2</v>
      </c>
      <c r="C6" s="153"/>
      <c r="D6" s="153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4"/>
      <c r="W6" s="152"/>
    </row>
    <row r="7" spans="1:23" ht="16.5">
      <c r="A7" s="57"/>
      <c r="B7" s="107">
        <v>3</v>
      </c>
      <c r="C7" s="153"/>
      <c r="D7" s="153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4"/>
      <c r="W7" s="152"/>
    </row>
    <row r="8" spans="1:23" ht="16.5">
      <c r="A8" s="57"/>
      <c r="B8" s="108">
        <v>4</v>
      </c>
      <c r="C8" s="153"/>
      <c r="D8" s="153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4"/>
      <c r="W8" s="152"/>
    </row>
    <row r="9" spans="1:23" ht="16.5">
      <c r="A9" s="57"/>
      <c r="B9" s="107">
        <v>5</v>
      </c>
      <c r="C9" s="153"/>
      <c r="D9" s="153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4"/>
      <c r="W9" s="152"/>
    </row>
    <row r="10" spans="1:23" ht="16.5">
      <c r="A10" s="57"/>
      <c r="B10" s="108">
        <v>6</v>
      </c>
      <c r="C10" s="153"/>
      <c r="D10" s="153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4"/>
      <c r="W10" s="152"/>
    </row>
    <row r="11" spans="1:23" ht="16.5">
      <c r="A11" s="57"/>
      <c r="B11" s="107">
        <v>7</v>
      </c>
      <c r="C11" s="153"/>
      <c r="D11" s="153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4"/>
      <c r="W11" s="152"/>
    </row>
    <row r="12" spans="1:23" ht="16.5">
      <c r="A12" s="57"/>
      <c r="B12" s="108">
        <v>8</v>
      </c>
      <c r="C12" s="153"/>
      <c r="D12" s="153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4"/>
      <c r="W12" s="152"/>
    </row>
    <row r="13" spans="1:23" ht="16.5">
      <c r="A13" s="57"/>
      <c r="B13" s="107">
        <v>9</v>
      </c>
      <c r="C13" s="153"/>
      <c r="D13" s="153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4"/>
      <c r="W13" s="152"/>
    </row>
    <row r="14" spans="1:23" ht="16.5">
      <c r="A14" s="57"/>
      <c r="B14" s="108">
        <v>10</v>
      </c>
      <c r="C14" s="153"/>
      <c r="D14" s="153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4"/>
      <c r="W14" s="152"/>
    </row>
    <row r="15" spans="1:23" ht="16.5">
      <c r="A15" s="57"/>
      <c r="B15" s="107">
        <v>11</v>
      </c>
      <c r="C15" s="153"/>
      <c r="D15" s="153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4"/>
      <c r="W15" s="152"/>
    </row>
    <row r="16" spans="1:23" ht="16.5">
      <c r="A16" s="57"/>
      <c r="B16" s="108">
        <v>12</v>
      </c>
      <c r="C16" s="153"/>
      <c r="D16" s="153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4"/>
      <c r="W16" s="152"/>
    </row>
    <row r="17" spans="1:23" ht="16.5">
      <c r="A17" s="57"/>
      <c r="B17" s="107">
        <v>13</v>
      </c>
      <c r="C17" s="153"/>
      <c r="D17" s="153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4"/>
      <c r="W17" s="152"/>
    </row>
    <row r="18" spans="1:23" ht="16.5">
      <c r="A18" s="57"/>
      <c r="B18" s="108">
        <v>14</v>
      </c>
      <c r="C18" s="153"/>
      <c r="D18" s="153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4"/>
      <c r="W18" s="152"/>
    </row>
    <row r="19" spans="1:23" ht="16.5">
      <c r="A19" s="57"/>
      <c r="B19" s="107">
        <v>15</v>
      </c>
      <c r="C19" s="153"/>
      <c r="D19" s="153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4"/>
      <c r="W19" s="152"/>
    </row>
    <row r="20" spans="1:23" ht="16.5">
      <c r="A20" s="57"/>
      <c r="B20" s="108">
        <v>16</v>
      </c>
      <c r="C20" s="153"/>
      <c r="D20" s="153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4"/>
      <c r="W20" s="152"/>
    </row>
    <row r="21" spans="1:23" ht="16.5">
      <c r="A21" s="57"/>
      <c r="B21" s="107">
        <v>17</v>
      </c>
      <c r="C21" s="153"/>
      <c r="D21" s="153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4"/>
      <c r="W21" s="152"/>
    </row>
    <row r="22" spans="1:23" ht="16.5">
      <c r="A22" s="57"/>
      <c r="B22" s="108">
        <v>18</v>
      </c>
      <c r="C22" s="153"/>
      <c r="D22" s="153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4"/>
      <c r="W22" s="152"/>
    </row>
    <row r="23" spans="1:23" ht="16.5">
      <c r="A23" s="57"/>
      <c r="B23" s="107">
        <v>19</v>
      </c>
      <c r="C23" s="153"/>
      <c r="D23" s="153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4"/>
      <c r="W23" s="152"/>
    </row>
    <row r="24" spans="1:23" ht="16.5">
      <c r="A24" s="57"/>
      <c r="B24" s="108">
        <v>20</v>
      </c>
      <c r="C24" s="153"/>
      <c r="D24" s="153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4"/>
      <c r="W24" s="152"/>
    </row>
    <row r="25" spans="1:23" ht="15.75" thickBot="1">
      <c r="A25" s="57"/>
      <c r="B25" s="464" t="s">
        <v>258</v>
      </c>
      <c r="C25" s="465"/>
      <c r="D25" s="466"/>
      <c r="E25" s="467"/>
      <c r="F25" s="467"/>
      <c r="G25" s="467"/>
      <c r="H25" s="467"/>
      <c r="I25" s="467"/>
      <c r="J25" s="467"/>
      <c r="K25" s="467"/>
      <c r="L25" s="467"/>
      <c r="M25" s="467"/>
      <c r="N25" s="467"/>
      <c r="O25" s="467"/>
      <c r="P25" s="467"/>
      <c r="Q25" s="467"/>
      <c r="R25" s="467"/>
      <c r="S25" s="467"/>
      <c r="T25" s="467"/>
      <c r="U25" s="467"/>
      <c r="V25" s="467"/>
      <c r="W25" s="468"/>
    </row>
    <row r="26" spans="1:23">
      <c r="A26" s="57"/>
      <c r="B26" s="60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spans="1:23">
      <c r="A27" s="57"/>
      <c r="B27" s="60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spans="1:23">
      <c r="A28" s="57"/>
      <c r="B28" s="60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</row>
    <row r="29" spans="1:23">
      <c r="A29" s="57"/>
      <c r="B29" s="60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>
      <c r="A30" s="57"/>
      <c r="B30" s="60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</row>
    <row r="31" spans="1:23">
      <c r="A31" s="57"/>
      <c r="B31" s="60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</row>
    <row r="32" spans="1:23">
      <c r="A32" s="57"/>
      <c r="B32" s="60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</row>
    <row r="33" spans="1:23">
      <c r="A33" s="57"/>
      <c r="B33" s="60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</row>
    <row r="34" spans="1:23">
      <c r="A34" s="57"/>
      <c r="B34" s="60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</row>
    <row r="35" spans="1:23">
      <c r="A35" s="57"/>
      <c r="B35" s="60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>
      <c r="A36" s="57"/>
      <c r="B36" s="60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</row>
    <row r="37" spans="1:23">
      <c r="A37" s="57"/>
      <c r="B37" s="60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 spans="1:23">
      <c r="A38" s="57"/>
      <c r="B38" s="60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 spans="1:23">
      <c r="A39" s="57"/>
      <c r="B39" s="60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>
      <c r="A40" s="57"/>
      <c r="B40" s="60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</row>
    <row r="41" spans="1:23">
      <c r="A41" s="57"/>
      <c r="B41" s="60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</row>
    <row r="42" spans="1:23">
      <c r="A42" s="57"/>
      <c r="B42" s="60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</row>
    <row r="43" spans="1:23">
      <c r="A43" s="57"/>
      <c r="B43" s="60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</row>
    <row r="44" spans="1:23">
      <c r="A44" s="57"/>
      <c r="B44" s="60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</row>
    <row r="45" spans="1:23">
      <c r="A45" s="57"/>
      <c r="B45" s="60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</row>
    <row r="46" spans="1:23">
      <c r="A46" s="57"/>
      <c r="B46" s="60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</row>
    <row r="47" spans="1:23">
      <c r="A47" s="57"/>
      <c r="B47" s="60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</row>
    <row r="48" spans="1:23">
      <c r="A48" s="57"/>
      <c r="B48" s="60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</row>
    <row r="49" spans="1:23">
      <c r="A49" s="57"/>
      <c r="B49" s="60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</row>
    <row r="50" spans="1:23">
      <c r="A50" s="57"/>
      <c r="B50" s="60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</row>
    <row r="51" spans="1:23">
      <c r="A51" s="57"/>
      <c r="B51" s="60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</row>
    <row r="52" spans="1:23">
      <c r="A52" s="57"/>
      <c r="B52" s="60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</row>
    <row r="53" spans="1:23">
      <c r="A53" s="57"/>
      <c r="B53" s="60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</row>
    <row r="54" spans="1:23">
      <c r="A54" s="57"/>
      <c r="B54" s="60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</row>
    <row r="55" spans="1:23">
      <c r="A55" s="57"/>
      <c r="B55" s="60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</row>
    <row r="56" spans="1:23">
      <c r="A56" s="57"/>
      <c r="B56" s="60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</row>
    <row r="57" spans="1:23">
      <c r="A57" s="57"/>
      <c r="B57" s="60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</row>
    <row r="58" spans="1:23">
      <c r="A58" s="57"/>
      <c r="B58" s="60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</row>
    <row r="59" spans="1:23">
      <c r="A59" s="57"/>
      <c r="B59" s="60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</row>
    <row r="60" spans="1:23">
      <c r="A60" s="57"/>
      <c r="B60" s="60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</row>
    <row r="61" spans="1:23">
      <c r="A61" s="57"/>
      <c r="B61" s="60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</row>
    <row r="62" spans="1:23">
      <c r="A62" s="57"/>
      <c r="B62" s="60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</row>
    <row r="63" spans="1:23">
      <c r="A63" s="57"/>
      <c r="B63" s="60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</row>
    <row r="64" spans="1:23">
      <c r="A64" s="57"/>
      <c r="B64" s="60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</row>
    <row r="65" spans="1:23">
      <c r="A65" s="57"/>
      <c r="B65" s="60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</row>
    <row r="66" spans="1:23">
      <c r="A66" s="57"/>
      <c r="B66" s="60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</row>
    <row r="67" spans="1:23">
      <c r="A67" s="57"/>
      <c r="B67" s="60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</row>
    <row r="68" spans="1:23">
      <c r="A68" s="57"/>
      <c r="B68" s="60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</row>
    <row r="69" spans="1:23">
      <c r="A69" s="57"/>
      <c r="B69" s="60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</row>
    <row r="70" spans="1:23">
      <c r="A70" s="57"/>
      <c r="B70" s="60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</row>
    <row r="71" spans="1:23">
      <c r="A71" s="57"/>
      <c r="B71" s="60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</row>
    <row r="72" spans="1:23">
      <c r="A72" s="57"/>
      <c r="B72" s="60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</row>
    <row r="73" spans="1:23">
      <c r="A73" s="57"/>
      <c r="B73" s="60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</row>
    <row r="74" spans="1:23">
      <c r="A74" s="57"/>
      <c r="B74" s="60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</row>
    <row r="75" spans="1:23">
      <c r="A75" s="57"/>
      <c r="B75" s="60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</row>
    <row r="76" spans="1:23">
      <c r="A76" s="57"/>
      <c r="B76" s="60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</row>
    <row r="77" spans="1:23">
      <c r="A77" s="57"/>
      <c r="B77" s="60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</row>
    <row r="78" spans="1:23">
      <c r="A78" s="57"/>
      <c r="B78" s="60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</row>
    <row r="79" spans="1:23">
      <c r="A79" s="57"/>
      <c r="B79" s="60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</row>
    <row r="80" spans="1:23">
      <c r="A80" s="57"/>
      <c r="B80" s="60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</row>
    <row r="81" spans="1:23">
      <c r="A81" s="57"/>
      <c r="B81" s="60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</row>
    <row r="82" spans="1:23">
      <c r="A82" s="57"/>
      <c r="B82" s="60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</row>
    <row r="83" spans="1:23">
      <c r="A83" s="57"/>
      <c r="B83" s="60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</row>
    <row r="84" spans="1:23">
      <c r="A84" s="57"/>
      <c r="B84" s="60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</row>
    <row r="85" spans="1:23">
      <c r="A85" s="57"/>
      <c r="B85" s="60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</row>
    <row r="86" spans="1:23">
      <c r="A86" s="57"/>
      <c r="B86" s="60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</row>
    <row r="87" spans="1:23">
      <c r="A87" s="57"/>
      <c r="B87" s="60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</row>
    <row r="88" spans="1:23">
      <c r="A88" s="57"/>
      <c r="B88" s="60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</row>
    <row r="89" spans="1:23">
      <c r="A89" s="57"/>
      <c r="B89" s="60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</row>
    <row r="90" spans="1:23">
      <c r="A90" s="57"/>
      <c r="B90" s="60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</row>
    <row r="91" spans="1:23">
      <c r="A91" s="57"/>
      <c r="B91" s="60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</row>
    <row r="92" spans="1:23">
      <c r="A92" s="57"/>
      <c r="B92" s="60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</row>
    <row r="93" spans="1:23">
      <c r="A93" s="57"/>
      <c r="B93" s="60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</row>
    <row r="94" spans="1:23">
      <c r="A94" s="57"/>
      <c r="B94" s="60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</row>
    <row r="95" spans="1:23">
      <c r="A95" s="57"/>
      <c r="B95" s="60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</row>
    <row r="96" spans="1:23">
      <c r="A96" s="57"/>
      <c r="B96" s="60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</row>
    <row r="97" spans="1:23">
      <c r="A97" s="57"/>
      <c r="B97" s="60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</row>
    <row r="98" spans="1:23">
      <c r="A98" s="57"/>
      <c r="B98" s="60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</row>
    <row r="99" spans="1:23">
      <c r="A99" s="57"/>
      <c r="B99" s="60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</row>
    <row r="100" spans="1:23">
      <c r="A100" s="57"/>
      <c r="B100" s="60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</row>
    <row r="101" spans="1:23">
      <c r="A101" s="57"/>
      <c r="B101" s="60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</row>
    <row r="102" spans="1:23">
      <c r="A102" s="57"/>
      <c r="B102" s="60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</row>
    <row r="103" spans="1:23">
      <c r="A103" s="57"/>
      <c r="B103" s="60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</row>
    <row r="104" spans="1:23">
      <c r="A104" s="57"/>
      <c r="B104" s="60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</row>
    <row r="105" spans="1:23">
      <c r="A105" s="57"/>
      <c r="B105" s="60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</row>
    <row r="106" spans="1:23">
      <c r="A106" s="57"/>
      <c r="B106" s="60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</row>
    <row r="107" spans="1:23">
      <c r="A107" s="57"/>
      <c r="B107" s="60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</row>
    <row r="108" spans="1:23">
      <c r="A108" s="57"/>
      <c r="B108" s="60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</row>
    <row r="109" spans="1:23">
      <c r="A109" s="57"/>
      <c r="B109" s="60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</row>
    <row r="110" spans="1:23">
      <c r="A110" s="57"/>
      <c r="B110" s="60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</row>
    <row r="111" spans="1:23">
      <c r="A111" s="57"/>
      <c r="B111" s="60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</row>
    <row r="112" spans="1:23">
      <c r="A112" s="57"/>
      <c r="B112" s="60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</row>
    <row r="113" spans="1:23">
      <c r="A113" s="57"/>
      <c r="B113" s="60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</row>
    <row r="114" spans="1:23">
      <c r="A114" s="57"/>
      <c r="B114" s="60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</row>
    <row r="115" spans="1:23">
      <c r="A115" s="57"/>
      <c r="B115" s="60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</row>
    <row r="116" spans="1:23">
      <c r="A116" s="57"/>
      <c r="B116" s="60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</row>
    <row r="117" spans="1:23">
      <c r="A117" s="57"/>
      <c r="B117" s="60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</row>
    <row r="118" spans="1:23">
      <c r="A118" s="57"/>
      <c r="B118" s="60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</row>
    <row r="119" spans="1:23">
      <c r="A119" s="57"/>
      <c r="B119" s="60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</row>
  </sheetData>
  <sheetProtection algorithmName="SHA-512" hashValue="hADNuf917ooEXhMGvAHsNeIhOI72r4/WIu9eQbzZ41tm+9B+1OLTV58eu8svXl4IYkUO9woqRdG5ieORRX5UWQ==" saltValue="jEcFQ8k6giePmYWM6BsXjA==" spinCount="100000" sheet="1" objects="1" scenarios="1" formatColumns="0" selectLockedCells="1"/>
  <mergeCells count="7">
    <mergeCell ref="B2:W2"/>
    <mergeCell ref="B25:C25"/>
    <mergeCell ref="D25:W25"/>
    <mergeCell ref="B3:B4"/>
    <mergeCell ref="C3:C4"/>
    <mergeCell ref="D3:E3"/>
    <mergeCell ref="F3:W3"/>
  </mergeCells>
  <pageMargins left="0.31496062992125984" right="0.31496062992125984" top="0.78740157480314965" bottom="0.78740157480314965" header="0.31496062992125984" footer="0.31496062992125984"/>
  <pageSetup paperSize="9" scale="8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A1:C35"/>
  <sheetViews>
    <sheetView workbookViewId="0">
      <selection activeCell="C2" sqref="C2"/>
    </sheetView>
  </sheetViews>
  <sheetFormatPr defaultColWidth="9.140625" defaultRowHeight="15"/>
  <cols>
    <col min="1" max="1" width="14.5703125" style="26" customWidth="1"/>
    <col min="2" max="2" width="25.5703125" style="26" customWidth="1"/>
    <col min="3" max="3" width="32.42578125" style="26" customWidth="1"/>
    <col min="4" max="16384" width="9.140625" style="26"/>
  </cols>
  <sheetData>
    <row r="1" spans="1:3" ht="66" customHeight="1"/>
    <row r="2" spans="1:3" ht="15.75">
      <c r="A2" s="22" t="s">
        <v>61</v>
      </c>
      <c r="B2" s="22"/>
      <c r="C2" s="23" t="s">
        <v>62</v>
      </c>
    </row>
    <row r="3" spans="1:3">
      <c r="A3" s="473" t="s">
        <v>63</v>
      </c>
      <c r="B3" s="473" t="s">
        <v>64</v>
      </c>
      <c r="C3" s="24" t="s">
        <v>65</v>
      </c>
    </row>
    <row r="4" spans="1:3" ht="24" customHeight="1">
      <c r="A4" s="474"/>
      <c r="B4" s="474"/>
      <c r="C4" s="24" t="s">
        <v>66</v>
      </c>
    </row>
    <row r="5" spans="1:3" ht="48" customHeight="1">
      <c r="A5" s="474"/>
      <c r="B5" s="474"/>
      <c r="C5" s="24" t="s">
        <v>67</v>
      </c>
    </row>
    <row r="6" spans="1:3">
      <c r="A6" s="474"/>
      <c r="B6" s="474"/>
      <c r="C6" s="24" t="s">
        <v>68</v>
      </c>
    </row>
    <row r="7" spans="1:3" ht="24" customHeight="1">
      <c r="A7" s="474"/>
      <c r="B7" s="474"/>
      <c r="C7" s="24" t="s">
        <v>69</v>
      </c>
    </row>
    <row r="8" spans="1:3" ht="36" customHeight="1">
      <c r="A8" s="474"/>
      <c r="B8" s="475"/>
      <c r="C8" s="24" t="s">
        <v>70</v>
      </c>
    </row>
    <row r="9" spans="1:3">
      <c r="A9" s="474"/>
      <c r="B9" s="25" t="s">
        <v>71</v>
      </c>
      <c r="C9" s="24" t="s">
        <v>72</v>
      </c>
    </row>
    <row r="10" spans="1:3">
      <c r="A10" s="474"/>
      <c r="B10" s="25" t="s">
        <v>73</v>
      </c>
      <c r="C10" s="24" t="s">
        <v>74</v>
      </c>
    </row>
    <row r="11" spans="1:3">
      <c r="A11" s="474"/>
      <c r="B11" s="473" t="s">
        <v>75</v>
      </c>
      <c r="C11" s="24" t="s">
        <v>76</v>
      </c>
    </row>
    <row r="12" spans="1:3" ht="24" customHeight="1">
      <c r="A12" s="474"/>
      <c r="B12" s="475"/>
      <c r="C12" s="24" t="s">
        <v>77</v>
      </c>
    </row>
    <row r="13" spans="1:3">
      <c r="A13" s="474"/>
      <c r="B13" s="473" t="s">
        <v>78</v>
      </c>
      <c r="C13" s="24" t="s">
        <v>79</v>
      </c>
    </row>
    <row r="14" spans="1:3" ht="24" customHeight="1">
      <c r="A14" s="474"/>
      <c r="B14" s="474"/>
      <c r="C14" s="24" t="s">
        <v>80</v>
      </c>
    </row>
    <row r="15" spans="1:3" ht="24" customHeight="1">
      <c r="A15" s="474"/>
      <c r="B15" s="474"/>
      <c r="C15" s="24" t="s">
        <v>81</v>
      </c>
    </row>
    <row r="16" spans="1:3" ht="24" customHeight="1">
      <c r="A16" s="475"/>
      <c r="B16" s="475"/>
      <c r="C16" s="24" t="s">
        <v>82</v>
      </c>
    </row>
    <row r="17" spans="1:3">
      <c r="A17" s="25" t="s">
        <v>12</v>
      </c>
      <c r="B17" s="25" t="s">
        <v>83</v>
      </c>
      <c r="C17" s="24" t="s">
        <v>83</v>
      </c>
    </row>
    <row r="18" spans="1:3" ht="36" customHeight="1">
      <c r="A18" s="473" t="s">
        <v>84</v>
      </c>
      <c r="B18" s="473" t="s">
        <v>85</v>
      </c>
      <c r="C18" s="24" t="s">
        <v>86</v>
      </c>
    </row>
    <row r="19" spans="1:3" ht="24" customHeight="1">
      <c r="A19" s="474"/>
      <c r="B19" s="474"/>
      <c r="C19" s="24" t="s">
        <v>87</v>
      </c>
    </row>
    <row r="20" spans="1:3" ht="36" customHeight="1">
      <c r="A20" s="474"/>
      <c r="B20" s="474"/>
      <c r="C20" s="24" t="s">
        <v>88</v>
      </c>
    </row>
    <row r="21" spans="1:3" ht="24" customHeight="1">
      <c r="A21" s="474"/>
      <c r="B21" s="474"/>
      <c r="C21" s="24" t="s">
        <v>89</v>
      </c>
    </row>
    <row r="22" spans="1:3" ht="48" customHeight="1">
      <c r="A22" s="474"/>
      <c r="B22" s="475"/>
      <c r="C22" s="24" t="s">
        <v>90</v>
      </c>
    </row>
    <row r="23" spans="1:3">
      <c r="A23" s="474"/>
      <c r="B23" s="473" t="s">
        <v>91</v>
      </c>
      <c r="C23" s="24" t="s">
        <v>92</v>
      </c>
    </row>
    <row r="24" spans="1:3" ht="24" customHeight="1">
      <c r="A24" s="474"/>
      <c r="B24" s="474"/>
      <c r="C24" s="24" t="s">
        <v>93</v>
      </c>
    </row>
    <row r="25" spans="1:3" ht="36" customHeight="1">
      <c r="A25" s="474"/>
      <c r="B25" s="475"/>
      <c r="C25" s="24" t="s">
        <v>94</v>
      </c>
    </row>
    <row r="26" spans="1:3">
      <c r="A26" s="474"/>
      <c r="B26" s="473" t="s">
        <v>95</v>
      </c>
      <c r="C26" s="24" t="s">
        <v>96</v>
      </c>
    </row>
    <row r="27" spans="1:3" ht="24" customHeight="1">
      <c r="A27" s="474"/>
      <c r="B27" s="475"/>
      <c r="C27" s="24" t="s">
        <v>97</v>
      </c>
    </row>
    <row r="28" spans="1:3">
      <c r="A28" s="474"/>
      <c r="B28" s="473" t="s">
        <v>98</v>
      </c>
      <c r="C28" s="24" t="s">
        <v>99</v>
      </c>
    </row>
    <row r="29" spans="1:3">
      <c r="A29" s="474"/>
      <c r="B29" s="474"/>
      <c r="C29" s="24" t="s">
        <v>100</v>
      </c>
    </row>
    <row r="30" spans="1:3">
      <c r="A30" s="475"/>
      <c r="B30" s="475"/>
      <c r="C30" s="24" t="s">
        <v>101</v>
      </c>
    </row>
    <row r="31" spans="1:3">
      <c r="A31" s="25" t="s">
        <v>102</v>
      </c>
      <c r="B31" s="25" t="s">
        <v>103</v>
      </c>
      <c r="C31" s="24" t="s">
        <v>103</v>
      </c>
    </row>
    <row r="32" spans="1:3">
      <c r="A32" s="25" t="s">
        <v>104</v>
      </c>
      <c r="B32" s="25" t="s">
        <v>105</v>
      </c>
      <c r="C32" s="24" t="s">
        <v>105</v>
      </c>
    </row>
    <row r="33" spans="1:3">
      <c r="A33" s="25" t="s">
        <v>106</v>
      </c>
      <c r="B33" s="25" t="s">
        <v>107</v>
      </c>
      <c r="C33" s="24" t="s">
        <v>107</v>
      </c>
    </row>
    <row r="34" spans="1:3">
      <c r="A34" s="25" t="s">
        <v>108</v>
      </c>
      <c r="B34" s="25" t="s">
        <v>109</v>
      </c>
      <c r="C34" s="24" t="s">
        <v>109</v>
      </c>
    </row>
    <row r="35" spans="1:3">
      <c r="A35" s="472"/>
      <c r="B35" s="472"/>
      <c r="C35" s="472"/>
    </row>
  </sheetData>
  <sheetProtection algorithmName="SHA-512" hashValue="RnJXgTePaz6f7n9kDsH0cKfPPCQGG5Td+/0kN5qPFgbEiyOpu2AovqH4qXa3NgtlbYorjWQixxkR/x+eQj5rmQ==" saltValue="OO7Mr/e7pnfyXzBYB9RoZQ==" spinCount="100000" sheet="1" selectLockedCells="1"/>
  <mergeCells count="10">
    <mergeCell ref="A35:C35"/>
    <mergeCell ref="A3:A16"/>
    <mergeCell ref="B3:B8"/>
    <mergeCell ref="B11:B12"/>
    <mergeCell ref="B13:B16"/>
    <mergeCell ref="A18:A30"/>
    <mergeCell ref="B18:B22"/>
    <mergeCell ref="B23:B25"/>
    <mergeCell ref="B26:B27"/>
    <mergeCell ref="B28:B30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5</vt:i4>
      </vt:variant>
    </vt:vector>
  </HeadingPairs>
  <TitlesOfParts>
    <vt:vector size="11" baseType="lpstr">
      <vt:lpstr>ROTEIRO</vt:lpstr>
      <vt:lpstr>0</vt:lpstr>
      <vt:lpstr>1</vt:lpstr>
      <vt:lpstr>2</vt:lpstr>
      <vt:lpstr>3</vt:lpstr>
      <vt:lpstr>FONTES</vt:lpstr>
      <vt:lpstr>'0'!Area_de_impressao</vt:lpstr>
      <vt:lpstr>'1'!Area_de_impressao</vt:lpstr>
      <vt:lpstr>'2'!Area_de_impressao</vt:lpstr>
      <vt:lpstr>'3'!Area_de_impressao</vt:lpstr>
      <vt:lpstr>ROTEIRO!Area_de_impressao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Jose Alves dos Santos</dc:creator>
  <cp:lastModifiedBy>SYSTEM</cp:lastModifiedBy>
  <cp:lastPrinted>2020-12-18T18:42:58Z</cp:lastPrinted>
  <dcterms:created xsi:type="dcterms:W3CDTF">2015-03-03T20:07:03Z</dcterms:created>
  <dcterms:modified xsi:type="dcterms:W3CDTF">2023-04-27T03:29:28Z</dcterms:modified>
</cp:coreProperties>
</file>